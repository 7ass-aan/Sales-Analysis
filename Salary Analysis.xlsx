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khale\Downloads\Salaries Analysis\"/>
    </mc:Choice>
  </mc:AlternateContent>
  <xr:revisionPtr revIDLastSave="0" documentId="13_ncr:1_{167D84DC-A24E-49E3-B546-A35B0737F251}" xr6:coauthVersionLast="47" xr6:coauthVersionMax="47" xr10:uidLastSave="{00000000-0000-0000-0000-000000000000}"/>
  <bookViews>
    <workbookView xWindow="-120" yWindow="-120" windowWidth="20730" windowHeight="11760" activeTab="1" xr2:uid="{32325097-9073-401F-884E-21189302F267}"/>
  </bookViews>
  <sheets>
    <sheet name="Analysis" sheetId="1" r:id="rId1"/>
    <sheet name="Dashboard" sheetId="2" r:id="rId2"/>
  </sheets>
  <definedNames>
    <definedName name="Slicer_Department">#N/A</definedName>
    <definedName name="Slicer_Job_Level">#N/A</definedName>
  </definedNames>
  <calcPr calcId="191029"/>
  <pivotCaches>
    <pivotCache cacheId="795" r:id="rId3"/>
    <pivotCache cacheId="798" r:id="rId4"/>
    <pivotCache cacheId="801" r:id="rId5"/>
    <pivotCache cacheId="804" r:id="rId6"/>
    <pivotCache cacheId="807" r:id="rId7"/>
    <pivotCache cacheId="810" r:id="rId8"/>
    <pivotCache cacheId="813" r:id="rId9"/>
    <pivotCache cacheId="816" r:id="rId10"/>
    <pivotCache cacheId="819" r:id="rId11"/>
  </pivotCaches>
  <extLst>
    <ext xmlns:x14="http://schemas.microsoft.com/office/spreadsheetml/2009/9/main" uri="{876F7934-8845-4945-9796-88D515C7AA90}">
      <x14:pivotCaches>
        <pivotCache cacheId="172" r:id="rId12"/>
        <pivotCache cacheId="654"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 Salary_cd3ed132-d560-4f3b-8f51-2b86a1391251" name="HR Salary" connection="Query - HR Salary"/>
          <x15:modelTable id="Job Class_30ea8d61-9d49-45ce-943a-b11206c68595" name="Job Class" connection="Query - Job Class"/>
        </x15:modelTables>
        <x15:modelRelationships>
          <x15:modelRelationship fromTable="HR Salary" fromColumn="Job Title" toTable="Job Class" toColumn="Job Titl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3583AC-55C3-45BF-B6F4-460B36242952}" name="Query - HR Salary" description="Connection to the 'HR Salary' query in the workbook." type="100" refreshedVersion="8" minRefreshableVersion="5">
    <extLst>
      <ext xmlns:x15="http://schemas.microsoft.com/office/spreadsheetml/2010/11/main" uri="{DE250136-89BD-433C-8126-D09CA5730AF9}">
        <x15:connection id="c06f4ddd-2b1c-4d5c-a181-8ab76afface9"/>
      </ext>
    </extLst>
  </connection>
  <connection id="2" xr16:uid="{4D484B6E-3796-40E3-8A0D-3C8097C8094F}" name="Query - Job Class" description="Connection to the 'Job Class' query in the workbook." type="100" refreshedVersion="8" minRefreshableVersion="5">
    <extLst>
      <ext xmlns:x15="http://schemas.microsoft.com/office/spreadsheetml/2010/11/main" uri="{DE250136-89BD-433C-8126-D09CA5730AF9}">
        <x15:connection id="77a18c4d-8109-437b-8b52-fbd33b9a6217"/>
      </ext>
    </extLst>
  </connection>
  <connection id="3" xr16:uid="{28372605-AD24-4950-8A94-5A7DFD22051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<sst xmlns="http://schemas.openxmlformats.org/spreadsheetml/2006/main" count="75" uniqueCount="53">
  <si>
    <t>Total Salary</t>
  </si>
  <si>
    <t>Departments</t>
  </si>
  <si>
    <t>Locations</t>
  </si>
  <si>
    <t>AVG_Salary</t>
  </si>
  <si>
    <t>Row Labels</t>
  </si>
  <si>
    <t>Finance</t>
  </si>
  <si>
    <t>HR</t>
  </si>
  <si>
    <t>IT</t>
  </si>
  <si>
    <t>Marketing</t>
  </si>
  <si>
    <t>Operations</t>
  </si>
  <si>
    <t>R&amp;D</t>
  </si>
  <si>
    <t>Sales</t>
  </si>
  <si>
    <t>Grand Total</t>
  </si>
  <si>
    <t>Account Manager</t>
  </si>
  <si>
    <t>Accountant</t>
  </si>
  <si>
    <t>Data Scientist</t>
  </si>
  <si>
    <t>Finance Manager</t>
  </si>
  <si>
    <t>Financial Analyst</t>
  </si>
  <si>
    <t>HR Assistant</t>
  </si>
  <si>
    <t>HR Manager</t>
  </si>
  <si>
    <t>IT Manager</t>
  </si>
  <si>
    <t>Logistics Coordinator</t>
  </si>
  <si>
    <t>Marketing Executive</t>
  </si>
  <si>
    <t>Marketing Manager</t>
  </si>
  <si>
    <t>Operations Executive</t>
  </si>
  <si>
    <t>Operations Manager</t>
  </si>
  <si>
    <t>R&amp;D Manager</t>
  </si>
  <si>
    <t>Recruiter</t>
  </si>
  <si>
    <t>Research Analyst</t>
  </si>
  <si>
    <t>Sales Executive</t>
  </si>
  <si>
    <t>Sales Manager</t>
  </si>
  <si>
    <t>SEO Specialist</t>
  </si>
  <si>
    <t>Software Engineer</t>
  </si>
  <si>
    <t>System Admin</t>
  </si>
  <si>
    <t>Female</t>
  </si>
  <si>
    <t>Male</t>
  </si>
  <si>
    <t>Denver</t>
  </si>
  <si>
    <t>Fort Worth</t>
  </si>
  <si>
    <t>Houston</t>
  </si>
  <si>
    <t>Indianapolis</t>
  </si>
  <si>
    <t>Philadelphia</t>
  </si>
  <si>
    <t>San Jose</t>
  </si>
  <si>
    <t>Seattle</t>
  </si>
  <si>
    <t>BSC</t>
  </si>
  <si>
    <t>High School</t>
  </si>
  <si>
    <t>Master</t>
  </si>
  <si>
    <t>PhD</t>
  </si>
  <si>
    <t>Entry Level</t>
  </si>
  <si>
    <t>Manager</t>
  </si>
  <si>
    <t>Mid Level</t>
  </si>
  <si>
    <t>Top 10 Jobs</t>
  </si>
  <si>
    <t>Salaries Analysis Dashboard</t>
  </si>
  <si>
    <t>Number Of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</si>
</sst>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 x14ac:knownFonts="1">
    <font>
      <sz val="11"/>
      <color theme="1"/>
      <name val="Aptos Narrow"/>
      <family val="2"/>
      <scheme val="minor"/>
    </font>
    <font>
      <b/>
      <sz val="36"/>
      <color theme="3"/>
      <name val="ADLaM Display"/>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1.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3" Type="http://schemas.openxmlformats.org/officeDocument/2006/relationships/pivotCacheDefinition" Target="pivotCache/pivotCacheDefinition1.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Analysis.xlsx]Analysis!PivotTable2</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avg.Salary /Department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Analysis!$D$7</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Analysis!$C$8:$C$15</c:f>
              <c:strCache>
                <c:ptCount val="7"/>
                <c:pt idx="0">
                  <c:v>IT</c:v>
                </c:pt>
                <c:pt idx="1">
                  <c:v>R&amp;D</c:v>
                </c:pt>
                <c:pt idx="2">
                  <c:v>Finance</c:v>
                </c:pt>
                <c:pt idx="3">
                  <c:v>Operations</c:v>
                </c:pt>
                <c:pt idx="4">
                  <c:v>Sales</c:v>
                </c:pt>
                <c:pt idx="5">
                  <c:v>Marketing</c:v>
                </c:pt>
                <c:pt idx="6">
                  <c:v>HR</c:v>
                </c:pt>
              </c:strCache>
            </c:strRef>
          </c:cat>
          <c:val>
            <c:numRef>
              <c:f>Analysis!$D$8:$D$15</c:f>
              <c:numCache>
                <c:formatCode>\$#,##0;\(\$#,##0\);\$#,##0</c:formatCode>
                <c:ptCount val="7"/>
                <c:pt idx="0">
                  <c:v>12152.5</c:v>
                </c:pt>
                <c:pt idx="1">
                  <c:v>11623.743243243243</c:v>
                </c:pt>
                <c:pt idx="2">
                  <c:v>9484.5245901639337</c:v>
                </c:pt>
                <c:pt idx="3">
                  <c:v>9319.7285714285717</c:v>
                </c:pt>
                <c:pt idx="4">
                  <c:v>9154.7792207792209</c:v>
                </c:pt>
                <c:pt idx="5">
                  <c:v>8973.9125000000004</c:v>
                </c:pt>
                <c:pt idx="6">
                  <c:v>8216.0689655172409</c:v>
                </c:pt>
              </c:numCache>
            </c:numRef>
          </c:val>
          <c:extLst>
            <c:ext xmlns:c16="http://schemas.microsoft.com/office/drawing/2014/chart" uri="{C3380CC4-5D6E-409C-BE32-E72D297353CC}">
              <c16:uniqueId val="{00000000-6953-4D8B-B9B0-5A7F85BBEA77}"/>
            </c:ext>
          </c:extLst>
        </c:ser>
        <c:dLbls>
          <c:dLblPos val="outEnd"/>
          <c:showLegendKey val="0"/>
          <c:showVal val="1"/>
          <c:showCatName val="0"/>
          <c:showSerName val="0"/>
          <c:showPercent val="0"/>
          <c:showBubbleSize val="0"/>
        </c:dLbls>
        <c:gapWidth val="269"/>
        <c:overlap val="-20"/>
        <c:axId val="179101127"/>
        <c:axId val="179101479"/>
      </c:barChart>
      <c:catAx>
        <c:axId val="179101127"/>
        <c:scaling>
          <c:orientation val="minMax"/>
        </c:scaling>
        <c:delete val="0"/>
        <c:axPos val="b"/>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1000" b="1" i="0" u="none" strike="noStrike" kern="1200" cap="all" spc="150" normalizeH="0" baseline="0">
                <a:solidFill>
                  <a:schemeClr val="lt1"/>
                </a:solidFill>
                <a:latin typeface="+mn-lt"/>
                <a:ea typeface="+mn-ea"/>
                <a:cs typeface="+mn-cs"/>
              </a:defRPr>
            </a:pPr>
            <a:endParaRPr lang="en-US"/>
          </a:p>
        </c:txPr>
        <c:crossAx val="179101479"/>
        <c:crosses val="autoZero"/>
        <c:auto val="1"/>
        <c:lblAlgn val="ctr"/>
        <c:lblOffset val="100"/>
        <c:noMultiLvlLbl val="0"/>
      </c:catAx>
      <c:valAx>
        <c:axId val="179101479"/>
        <c:scaling>
          <c:orientation val="minMax"/>
        </c:scaling>
        <c:delete val="1"/>
        <c:axPos val="l"/>
        <c:numFmt formatCode="\$#,##0;\(\$#,##0\);\$#,##0" sourceLinked="1"/>
        <c:majorTickMark val="none"/>
        <c:minorTickMark val="none"/>
        <c:tickLblPos val="nextTo"/>
        <c:crossAx val="179101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Analysis.xlsx]Analysis!PivotTable3</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10 Jobs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Analysis!$G$7</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Analysis!$F$8:$F$29</c:f>
              <c:strCache>
                <c:ptCount val="21"/>
                <c:pt idx="0">
                  <c:v>System Admin</c:v>
                </c:pt>
                <c:pt idx="1">
                  <c:v>R&amp;D Manager</c:v>
                </c:pt>
                <c:pt idx="2">
                  <c:v>Data Scientist</c:v>
                </c:pt>
                <c:pt idx="3">
                  <c:v>Software Engineer</c:v>
                </c:pt>
                <c:pt idx="4">
                  <c:v>IT Manager</c:v>
                </c:pt>
                <c:pt idx="5">
                  <c:v>Research Analyst</c:v>
                </c:pt>
                <c:pt idx="6">
                  <c:v>Financial Analyst</c:v>
                </c:pt>
                <c:pt idx="7">
                  <c:v>Sales Executive</c:v>
                </c:pt>
                <c:pt idx="8">
                  <c:v>Logistics Coordinator</c:v>
                </c:pt>
                <c:pt idx="9">
                  <c:v>Operations Manager</c:v>
                </c:pt>
                <c:pt idx="10">
                  <c:v>SEO Specialist</c:v>
                </c:pt>
                <c:pt idx="11">
                  <c:v>Marketing Manager</c:v>
                </c:pt>
                <c:pt idx="12">
                  <c:v>Accountant</c:v>
                </c:pt>
                <c:pt idx="13">
                  <c:v>Finance Manager</c:v>
                </c:pt>
                <c:pt idx="14">
                  <c:v>Account Manager</c:v>
                </c:pt>
                <c:pt idx="15">
                  <c:v>Operations Executive</c:v>
                </c:pt>
                <c:pt idx="16">
                  <c:v>Recruiter</c:v>
                </c:pt>
                <c:pt idx="17">
                  <c:v>Sales Manager</c:v>
                </c:pt>
                <c:pt idx="18">
                  <c:v>HR Manager</c:v>
                </c:pt>
                <c:pt idx="19">
                  <c:v>HR Assistant</c:v>
                </c:pt>
                <c:pt idx="20">
                  <c:v>Marketing Executive</c:v>
                </c:pt>
              </c:strCache>
            </c:strRef>
          </c:cat>
          <c:val>
            <c:numRef>
              <c:f>Analysis!$G$8:$G$29</c:f>
              <c:numCache>
                <c:formatCode>\$#,##0;\(\$#,##0\);\$#,##0</c:formatCode>
                <c:ptCount val="21"/>
                <c:pt idx="0">
                  <c:v>12670.304347826086</c:v>
                </c:pt>
                <c:pt idx="1">
                  <c:v>12414.541666666666</c:v>
                </c:pt>
                <c:pt idx="2">
                  <c:v>12049.6</c:v>
                </c:pt>
                <c:pt idx="3">
                  <c:v>11956.181818181818</c:v>
                </c:pt>
                <c:pt idx="4">
                  <c:v>11926.208333333334</c:v>
                </c:pt>
                <c:pt idx="5">
                  <c:v>10707.2</c:v>
                </c:pt>
                <c:pt idx="6">
                  <c:v>10236.5</c:v>
                </c:pt>
                <c:pt idx="7">
                  <c:v>10007.846153846154</c:v>
                </c:pt>
                <c:pt idx="8">
                  <c:v>9542.3214285714294</c:v>
                </c:pt>
                <c:pt idx="9">
                  <c:v>9471.173913043478</c:v>
                </c:pt>
                <c:pt idx="10">
                  <c:v>9416.96875</c:v>
                </c:pt>
                <c:pt idx="11">
                  <c:v>9350.4838709677424</c:v>
                </c:pt>
                <c:pt idx="12">
                  <c:v>9341.5789473684217</c:v>
                </c:pt>
                <c:pt idx="13">
                  <c:v>9126.2307692307695</c:v>
                </c:pt>
                <c:pt idx="14">
                  <c:v>8907.5161290322576</c:v>
                </c:pt>
                <c:pt idx="15">
                  <c:v>8808.3684210526317</c:v>
                </c:pt>
                <c:pt idx="16">
                  <c:v>8642.4761904761908</c:v>
                </c:pt>
                <c:pt idx="17">
                  <c:v>8429.0499999999993</c:v>
                </c:pt>
                <c:pt idx="18">
                  <c:v>8237.105263157895</c:v>
                </c:pt>
                <c:pt idx="19">
                  <c:v>7696.3888888888887</c:v>
                </c:pt>
                <c:pt idx="20">
                  <c:v>7453.2352941176468</c:v>
                </c:pt>
              </c:numCache>
            </c:numRef>
          </c:val>
          <c:extLst>
            <c:ext xmlns:c16="http://schemas.microsoft.com/office/drawing/2014/chart" uri="{C3380CC4-5D6E-409C-BE32-E72D297353CC}">
              <c16:uniqueId val="{00000000-2198-4326-828B-0C85AADEAF44}"/>
            </c:ext>
          </c:extLst>
        </c:ser>
        <c:dLbls>
          <c:dLblPos val="outEnd"/>
          <c:showLegendKey val="0"/>
          <c:showVal val="1"/>
          <c:showCatName val="0"/>
          <c:showSerName val="0"/>
          <c:showPercent val="0"/>
          <c:showBubbleSize val="0"/>
        </c:dLbls>
        <c:gapWidth val="269"/>
        <c:overlap val="-20"/>
        <c:axId val="179560903"/>
        <c:axId val="179563015"/>
      </c:barChart>
      <c:catAx>
        <c:axId val="179560903"/>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1" i="0" u="none" strike="noStrike" kern="1200" cap="all" spc="150" normalizeH="0" baseline="0">
                <a:solidFill>
                  <a:schemeClr val="lt1"/>
                </a:solidFill>
                <a:latin typeface="+mn-lt"/>
                <a:ea typeface="+mn-ea"/>
                <a:cs typeface="+mn-cs"/>
              </a:defRPr>
            </a:pPr>
            <a:endParaRPr lang="en-US"/>
          </a:p>
        </c:txPr>
        <c:crossAx val="179563015"/>
        <c:crosses val="autoZero"/>
        <c:auto val="1"/>
        <c:lblAlgn val="ctr"/>
        <c:lblOffset val="100"/>
        <c:noMultiLvlLbl val="0"/>
      </c:catAx>
      <c:valAx>
        <c:axId val="179563015"/>
        <c:scaling>
          <c:orientation val="minMax"/>
        </c:scaling>
        <c:delete val="1"/>
        <c:axPos val="b"/>
        <c:numFmt formatCode="\$#,##0;\(\$#,##0\);\$#,##0" sourceLinked="1"/>
        <c:majorTickMark val="out"/>
        <c:minorTickMark val="none"/>
        <c:tickLblPos val="nextTo"/>
        <c:crossAx val="179560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Analysis.xlsx]Analysis!PivotTable4</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 Salaries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lt1"/>
          </a:solidFill>
          <a:ln w="19050">
            <a:solidFill>
              <a:schemeClr val="accent1"/>
            </a:solidFill>
          </a:ln>
          <a:effectLst/>
        </c:spPr>
        <c:marker>
          <c:symbol val="circle"/>
          <c:size val="5"/>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s>
    <c:plotArea>
      <c:layout/>
      <c:pieChart>
        <c:varyColors val="1"/>
        <c:ser>
          <c:idx val="0"/>
          <c:order val="0"/>
          <c:tx>
            <c:strRef>
              <c:f>Analysis!$J$7</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A59F-45AB-8DFB-B8540C89F5AC}"/>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A59F-45AB-8DFB-B8540C89F5AC}"/>
              </c:ext>
            </c:extLst>
          </c:dPt>
          <c:dLbls>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Analysis!$I$8:$I$10</c:f>
              <c:strCache>
                <c:ptCount val="2"/>
                <c:pt idx="0">
                  <c:v>Female</c:v>
                </c:pt>
                <c:pt idx="1">
                  <c:v>Male</c:v>
                </c:pt>
              </c:strCache>
            </c:strRef>
          </c:cat>
          <c:val>
            <c:numRef>
              <c:f>Analysis!$J$8:$J$10</c:f>
              <c:numCache>
                <c:formatCode>0.00%</c:formatCode>
                <c:ptCount val="2"/>
                <c:pt idx="0">
                  <c:v>0.52770179361579894</c:v>
                </c:pt>
                <c:pt idx="1">
                  <c:v>0.47229820638420106</c:v>
                </c:pt>
              </c:numCache>
            </c:numRef>
          </c:val>
          <c:extLst>
            <c:ext xmlns:c16="http://schemas.microsoft.com/office/drawing/2014/chart" uri="{C3380CC4-5D6E-409C-BE32-E72D297353CC}">
              <c16:uniqueId val="{00000004-A59F-45AB-8DFB-B8540C89F5AC}"/>
            </c:ext>
          </c:extLst>
        </c:ser>
        <c:dLbls>
          <c:dLblPos val="inEnd"/>
          <c:showLegendKey val="0"/>
          <c:showVal val="0"/>
          <c:showCatName val="1"/>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Analysis.xlsx]Analysis!PivotTable5</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Employees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lt1"/>
          </a:solidFill>
          <a:ln w="19050">
            <a:solidFill>
              <a:schemeClr val="accent1"/>
            </a:solidFill>
          </a:ln>
          <a:effectLst/>
        </c:spPr>
        <c:marker>
          <c:symbol val="circle"/>
          <c:size val="5"/>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s>
    <c:plotArea>
      <c:layout/>
      <c:pieChart>
        <c:varyColors val="1"/>
        <c:ser>
          <c:idx val="0"/>
          <c:order val="0"/>
          <c:tx>
            <c:strRef>
              <c:f>Analysis!$J$12</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7A1B-4547-8967-DCD6C5BE36B9}"/>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7A1B-4547-8967-DCD6C5BE36B9}"/>
              </c:ext>
            </c:extLst>
          </c:dPt>
          <c:dLbls>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Analysis!$I$13:$I$15</c:f>
              <c:strCache>
                <c:ptCount val="2"/>
                <c:pt idx="0">
                  <c:v>Female</c:v>
                </c:pt>
                <c:pt idx="1">
                  <c:v>Male</c:v>
                </c:pt>
              </c:strCache>
            </c:strRef>
          </c:cat>
          <c:val>
            <c:numRef>
              <c:f>Analysis!$J$13:$J$15</c:f>
              <c:numCache>
                <c:formatCode>0.00%</c:formatCode>
                <c:ptCount val="2"/>
                <c:pt idx="0">
                  <c:v>0.52200000000000002</c:v>
                </c:pt>
                <c:pt idx="1">
                  <c:v>0.47799999999999998</c:v>
                </c:pt>
              </c:numCache>
            </c:numRef>
          </c:val>
          <c:extLst>
            <c:ext xmlns:c16="http://schemas.microsoft.com/office/drawing/2014/chart" uri="{C3380CC4-5D6E-409C-BE32-E72D297353CC}">
              <c16:uniqueId val="{00000004-7A1B-4547-8967-DCD6C5BE36B9}"/>
            </c:ext>
          </c:extLst>
        </c:ser>
        <c:dLbls>
          <c:dLblPos val="bestFit"/>
          <c:showLegendKey val="0"/>
          <c:showVal val="0"/>
          <c:showCatName val="1"/>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Analysis.xlsx]Analysis!PivotTable7</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avg.salary /education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Analysis!$M$7</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Analysis!$L$8:$L$12</c:f>
              <c:strCache>
                <c:ptCount val="4"/>
                <c:pt idx="0">
                  <c:v>BSC</c:v>
                </c:pt>
                <c:pt idx="1">
                  <c:v>High School</c:v>
                </c:pt>
                <c:pt idx="2">
                  <c:v>Master</c:v>
                </c:pt>
                <c:pt idx="3">
                  <c:v>PhD</c:v>
                </c:pt>
              </c:strCache>
            </c:strRef>
          </c:cat>
          <c:val>
            <c:numRef>
              <c:f>Analysis!$M$8:$M$12</c:f>
              <c:numCache>
                <c:formatCode>\$#,##0;\(\$#,##0\);\$#,##0</c:formatCode>
                <c:ptCount val="4"/>
                <c:pt idx="0">
                  <c:v>9816.6832061068708</c:v>
                </c:pt>
                <c:pt idx="1">
                  <c:v>9952.0666666666675</c:v>
                </c:pt>
                <c:pt idx="2">
                  <c:v>10197.954128440368</c:v>
                </c:pt>
                <c:pt idx="3">
                  <c:v>9755.9166666666661</c:v>
                </c:pt>
              </c:numCache>
            </c:numRef>
          </c:val>
          <c:extLst>
            <c:ext xmlns:c16="http://schemas.microsoft.com/office/drawing/2014/chart" uri="{C3380CC4-5D6E-409C-BE32-E72D297353CC}">
              <c16:uniqueId val="{00000000-47E8-4B0D-BB99-3EA22AB3657A}"/>
            </c:ext>
          </c:extLst>
        </c:ser>
        <c:dLbls>
          <c:dLblPos val="outEnd"/>
          <c:showLegendKey val="0"/>
          <c:showVal val="1"/>
          <c:showCatName val="0"/>
          <c:showSerName val="0"/>
          <c:showPercent val="0"/>
          <c:showBubbleSize val="0"/>
        </c:dLbls>
        <c:gapWidth val="269"/>
        <c:overlap val="-20"/>
        <c:axId val="142532111"/>
        <c:axId val="142529999"/>
      </c:barChart>
      <c:catAx>
        <c:axId val="142532111"/>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1000" b="1" i="0" u="none" strike="noStrike" kern="1200" cap="all" spc="150" normalizeH="0" baseline="0">
                <a:solidFill>
                  <a:schemeClr val="lt1"/>
                </a:solidFill>
                <a:latin typeface="+mn-lt"/>
                <a:ea typeface="+mn-ea"/>
                <a:cs typeface="+mn-cs"/>
              </a:defRPr>
            </a:pPr>
            <a:endParaRPr lang="en-US"/>
          </a:p>
        </c:txPr>
        <c:crossAx val="142529999"/>
        <c:crosses val="autoZero"/>
        <c:auto val="1"/>
        <c:lblAlgn val="ctr"/>
        <c:lblOffset val="100"/>
        <c:noMultiLvlLbl val="0"/>
      </c:catAx>
      <c:valAx>
        <c:axId val="142529999"/>
        <c:scaling>
          <c:orientation val="minMax"/>
        </c:scaling>
        <c:delete val="1"/>
        <c:axPos val="l"/>
        <c:numFmt formatCode="\$#,##0;\(\$#,##0\);\$#,##0" sourceLinked="1"/>
        <c:majorTickMark val="none"/>
        <c:minorTickMark val="none"/>
        <c:tickLblPos val="nextTo"/>
        <c:crossAx val="14253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Analysis.xlsx]Analysis!PivotTable6</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avg.Salaries</a:t>
            </a:r>
            <a:r>
              <a:rPr lang="en-US" baseline="0"/>
              <a:t> /location</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Analysis!$J$18</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Analysis!$I$19:$I$26</c:f>
              <c:strCache>
                <c:ptCount val="7"/>
                <c:pt idx="0">
                  <c:v>Indianapolis</c:v>
                </c:pt>
                <c:pt idx="1">
                  <c:v>San Jose</c:v>
                </c:pt>
                <c:pt idx="2">
                  <c:v>Fort Worth</c:v>
                </c:pt>
                <c:pt idx="3">
                  <c:v>Seattle</c:v>
                </c:pt>
                <c:pt idx="4">
                  <c:v>Denver</c:v>
                </c:pt>
                <c:pt idx="5">
                  <c:v>Houston</c:v>
                </c:pt>
                <c:pt idx="6">
                  <c:v>Philadelphia</c:v>
                </c:pt>
              </c:strCache>
            </c:strRef>
          </c:cat>
          <c:val>
            <c:numRef>
              <c:f>Analysis!$J$19:$J$26</c:f>
              <c:numCache>
                <c:formatCode>\$#,##0;\(\$#,##0\);\$#,##0</c:formatCode>
                <c:ptCount val="7"/>
                <c:pt idx="0">
                  <c:v>10570.546875</c:v>
                </c:pt>
                <c:pt idx="1">
                  <c:v>10275.313432835821</c:v>
                </c:pt>
                <c:pt idx="2">
                  <c:v>9926.818181818182</c:v>
                </c:pt>
                <c:pt idx="3">
                  <c:v>9805.9324324324316</c:v>
                </c:pt>
                <c:pt idx="4">
                  <c:v>9730.8533333333326</c:v>
                </c:pt>
                <c:pt idx="5">
                  <c:v>9648.4696969696961</c:v>
                </c:pt>
                <c:pt idx="6">
                  <c:v>9624.4025974025972</c:v>
                </c:pt>
              </c:numCache>
            </c:numRef>
          </c:val>
          <c:extLst>
            <c:ext xmlns:c16="http://schemas.microsoft.com/office/drawing/2014/chart" uri="{C3380CC4-5D6E-409C-BE32-E72D297353CC}">
              <c16:uniqueId val="{00000000-9A7F-44A9-ABFA-E7118D23F3F6}"/>
            </c:ext>
          </c:extLst>
        </c:ser>
        <c:dLbls>
          <c:dLblPos val="outEnd"/>
          <c:showLegendKey val="0"/>
          <c:showVal val="1"/>
          <c:showCatName val="0"/>
          <c:showSerName val="0"/>
          <c:showPercent val="0"/>
          <c:showBubbleSize val="0"/>
        </c:dLbls>
        <c:gapWidth val="269"/>
        <c:overlap val="-20"/>
        <c:axId val="142670383"/>
        <c:axId val="142671439"/>
      </c:barChart>
      <c:catAx>
        <c:axId val="142670383"/>
        <c:scaling>
          <c:orientation val="minMax"/>
        </c:scaling>
        <c:delete val="0"/>
        <c:axPos val="l"/>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1" i="0" u="none" strike="noStrike" kern="1200" cap="all" spc="150" normalizeH="0" baseline="0">
                <a:solidFill>
                  <a:schemeClr val="lt1"/>
                </a:solidFill>
                <a:latin typeface="+mn-lt"/>
                <a:ea typeface="+mn-ea"/>
                <a:cs typeface="+mn-cs"/>
              </a:defRPr>
            </a:pPr>
            <a:endParaRPr lang="en-US"/>
          </a:p>
        </c:txPr>
        <c:crossAx val="142671439"/>
        <c:crosses val="autoZero"/>
        <c:auto val="1"/>
        <c:lblAlgn val="ctr"/>
        <c:lblOffset val="100"/>
        <c:noMultiLvlLbl val="0"/>
      </c:catAx>
      <c:valAx>
        <c:axId val="142671439"/>
        <c:scaling>
          <c:orientation val="minMax"/>
        </c:scaling>
        <c:delete val="1"/>
        <c:axPos val="b"/>
        <c:numFmt formatCode="\$#,##0;\(\$#,##0\);\$#,##0" sourceLinked="1"/>
        <c:majorTickMark val="none"/>
        <c:minorTickMark val="none"/>
        <c:tickLblPos val="nextTo"/>
        <c:crossAx val="14267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Analysis.xlsx]Analysis!PivotTable9</c:name>
    <c:fmtId val="1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Salary - Experience Correlation</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Analysis!$M$24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Analysis!$L$25:$L$61</c:f>
              <c:strCache>
                <c:ptCount val="3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37</c:v>
                </c:pt>
              </c:strCache>
            </c:strRef>
          </c:cat>
          <c:val>
            <c:numRef>
              <c:f>Analysis!$M$25:$M$61</c:f>
              <c:numCache>
                <c:formatCode>\$#,##0;\(\$#,##0\);\$#,##0</c:formatCode>
                <c:ptCount val="36"/>
                <c:pt idx="0">
                  <c:v>5808.0344827586205</c:v>
                </c:pt>
                <c:pt idx="1">
                  <c:v>6348.478260869565</c:v>
                </c:pt>
                <c:pt idx="2">
                  <c:v>6528.25</c:v>
                </c:pt>
                <c:pt idx="3">
                  <c:v>7416.2941176470586</c:v>
                </c:pt>
                <c:pt idx="4">
                  <c:v>7836.08</c:v>
                </c:pt>
                <c:pt idx="5">
                  <c:v>8115.4285714285716</c:v>
                </c:pt>
                <c:pt idx="6">
                  <c:v>7882.333333333333</c:v>
                </c:pt>
                <c:pt idx="7">
                  <c:v>8836.2000000000007</c:v>
                </c:pt>
                <c:pt idx="8">
                  <c:v>8817.0769230769238</c:v>
                </c:pt>
                <c:pt idx="9">
                  <c:v>9717.181818181818</c:v>
                </c:pt>
                <c:pt idx="10">
                  <c:v>9713.454545454546</c:v>
                </c:pt>
                <c:pt idx="11">
                  <c:v>10172.611111111111</c:v>
                </c:pt>
                <c:pt idx="12">
                  <c:v>10604.45</c:v>
                </c:pt>
                <c:pt idx="13">
                  <c:v>10677.666666666666</c:v>
                </c:pt>
                <c:pt idx="14">
                  <c:v>10835.3125</c:v>
                </c:pt>
                <c:pt idx="15">
                  <c:v>11643.533333333333</c:v>
                </c:pt>
                <c:pt idx="16">
                  <c:v>12042.173913043478</c:v>
                </c:pt>
                <c:pt idx="17">
                  <c:v>11601.5625</c:v>
                </c:pt>
                <c:pt idx="18">
                  <c:v>12015.272727272728</c:v>
                </c:pt>
                <c:pt idx="19">
                  <c:v>13130.5</c:v>
                </c:pt>
                <c:pt idx="20">
                  <c:v>12214.285714285714</c:v>
                </c:pt>
                <c:pt idx="21">
                  <c:v>13862.9</c:v>
                </c:pt>
                <c:pt idx="22">
                  <c:v>13721.3</c:v>
                </c:pt>
                <c:pt idx="23">
                  <c:v>13648</c:v>
                </c:pt>
                <c:pt idx="24">
                  <c:v>14713</c:v>
                </c:pt>
                <c:pt idx="25">
                  <c:v>16005.166666666666</c:v>
                </c:pt>
                <c:pt idx="26">
                  <c:v>16182.375</c:v>
                </c:pt>
                <c:pt idx="27">
                  <c:v>15153.75</c:v>
                </c:pt>
                <c:pt idx="28">
                  <c:v>17912.5</c:v>
                </c:pt>
                <c:pt idx="29">
                  <c:v>14154.333333333334</c:v>
                </c:pt>
                <c:pt idx="30">
                  <c:v>16074.333333333334</c:v>
                </c:pt>
                <c:pt idx="31">
                  <c:v>17084</c:v>
                </c:pt>
                <c:pt idx="32">
                  <c:v>19552</c:v>
                </c:pt>
                <c:pt idx="33">
                  <c:v>13250.5</c:v>
                </c:pt>
                <c:pt idx="34">
                  <c:v>20543</c:v>
                </c:pt>
                <c:pt idx="35">
                  <c:v>16899</c:v>
                </c:pt>
              </c:numCache>
            </c:numRef>
          </c:val>
          <c:smooth val="0"/>
          <c:extLst>
            <c:ext xmlns:c16="http://schemas.microsoft.com/office/drawing/2014/chart" uri="{C3380CC4-5D6E-409C-BE32-E72D297353CC}">
              <c16:uniqueId val="{00000000-EF2D-4E11-835B-2F357D72C6C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2620399"/>
        <c:axId val="142620751"/>
      </c:lineChart>
      <c:catAx>
        <c:axId val="14262039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00" b="1" i="0" u="none" strike="noStrike" kern="1200" spc="100" baseline="0">
                <a:solidFill>
                  <a:schemeClr val="lt1"/>
                </a:solidFill>
                <a:latin typeface="+mn-lt"/>
                <a:ea typeface="+mn-ea"/>
                <a:cs typeface="+mn-cs"/>
              </a:defRPr>
            </a:pPr>
            <a:endParaRPr lang="en-US"/>
          </a:p>
        </c:txPr>
        <c:crossAx val="142620751"/>
        <c:crosses val="autoZero"/>
        <c:auto val="1"/>
        <c:lblAlgn val="ctr"/>
        <c:lblOffset val="100"/>
        <c:noMultiLvlLbl val="0"/>
      </c:catAx>
      <c:valAx>
        <c:axId val="1426207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crossAx val="14262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hyperlink" Target="#Analysis!A1"/><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209550</xdr:colOff>
      <xdr:row>1</xdr:row>
      <xdr:rowOff>104775</xdr:rowOff>
    </xdr:from>
    <xdr:to>
      <xdr:col>12</xdr:col>
      <xdr:colOff>676275</xdr:colOff>
      <xdr:row>4</xdr:row>
      <xdr:rowOff>142875</xdr:rowOff>
    </xdr:to>
    <xdr:sp macro="" textlink="">
      <xdr:nvSpPr>
        <xdr:cNvPr id="14" name="Arrow: Right 13">
          <a:hlinkClick xmlns:r="http://schemas.openxmlformats.org/officeDocument/2006/relationships" r:id="rId1"/>
          <a:extLst>
            <a:ext uri="{FF2B5EF4-FFF2-40B4-BE49-F238E27FC236}">
              <a16:creationId xmlns:a16="http://schemas.microsoft.com/office/drawing/2014/main" id="{B2C6F521-C99C-EAA2-5828-CC32E70C82F3}"/>
            </a:ext>
          </a:extLst>
        </xdr:cNvPr>
        <xdr:cNvSpPr/>
      </xdr:nvSpPr>
      <xdr:spPr>
        <a:xfrm>
          <a:off x="9239250" y="295275"/>
          <a:ext cx="1362075" cy="6096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2"/>
              </a:solidFill>
              <a:latin typeface="Aharoni" panose="02010803020104030203" pitchFamily="2" charset="-79"/>
              <a:ea typeface="ADLaM Display" panose="02010000000000000000" pitchFamily="2" charset="0"/>
              <a:cs typeface="Aharoni" panose="02010803020104030203" pitchFamily="2" charset="-79"/>
            </a:rPr>
            <a:t>Dashboard</a:t>
          </a:r>
          <a:endParaRPr lang="en-US" sz="1200" b="1">
            <a:solidFill>
              <a:schemeClr val="bg2"/>
            </a:solidFill>
            <a:latin typeface="Aharoni" panose="02010803020104030203" pitchFamily="2" charset="-79"/>
            <a:ea typeface="ADLaM Display" panose="02010000000000000000" pitchFamily="2" charset="0"/>
            <a:cs typeface="Aharoni" panose="02010803020104030203" pitchFamily="2" charset="-79"/>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217122</xdr:colOff>
      <xdr:row>2</xdr:row>
      <xdr:rowOff>124505</xdr:rowOff>
    </xdr:from>
    <xdr:to>
      <xdr:col>16</xdr:col>
      <xdr:colOff>19759</xdr:colOff>
      <xdr:row>7</xdr:row>
      <xdr:rowOff>12420</xdr:rowOff>
    </xdr:to>
    <xdr:grpSp>
      <xdr:nvGrpSpPr>
        <xdr:cNvPr id="12" name="Group 11">
          <a:extLst>
            <a:ext uri="{FF2B5EF4-FFF2-40B4-BE49-F238E27FC236}">
              <a16:creationId xmlns:a16="http://schemas.microsoft.com/office/drawing/2014/main" id="{96245272-25D4-4E36-0856-B8386A510565}"/>
            </a:ext>
          </a:extLst>
        </xdr:cNvPr>
        <xdr:cNvGrpSpPr/>
      </xdr:nvGrpSpPr>
      <xdr:grpSpPr>
        <a:xfrm>
          <a:off x="3286289" y="1172255"/>
          <a:ext cx="6554803" cy="840415"/>
          <a:chOff x="3657600" y="928687"/>
          <a:chExt cx="6115050" cy="591152"/>
        </a:xfrm>
      </xdr:grpSpPr>
      <xdr:grpSp>
        <xdr:nvGrpSpPr>
          <xdr:cNvPr id="5" name="Group 4">
            <a:extLst>
              <a:ext uri="{FF2B5EF4-FFF2-40B4-BE49-F238E27FC236}">
                <a16:creationId xmlns:a16="http://schemas.microsoft.com/office/drawing/2014/main" id="{59551C8F-A32D-468D-5A03-E7413F8844E6}"/>
              </a:ext>
            </a:extLst>
          </xdr:cNvPr>
          <xdr:cNvGrpSpPr/>
        </xdr:nvGrpSpPr>
        <xdr:grpSpPr>
          <a:xfrm>
            <a:off x="3657600" y="928687"/>
            <a:ext cx="1304925" cy="552450"/>
            <a:chOff x="3648075" y="942975"/>
            <a:chExt cx="1304925" cy="552450"/>
          </a:xfrm>
        </xdr:grpSpPr>
        <xdr:sp macro="" textlink="">
          <xdr:nvSpPr>
            <xdr:cNvPr id="2" name="Rectangle: Rounded Corners 1">
              <a:extLst>
                <a:ext uri="{FF2B5EF4-FFF2-40B4-BE49-F238E27FC236}">
                  <a16:creationId xmlns:a16="http://schemas.microsoft.com/office/drawing/2014/main" id="{171F8427-3A16-1F26-A351-6C1D92D001D1}"/>
                </a:ext>
              </a:extLst>
            </xdr:cNvPr>
            <xdr:cNvSpPr/>
          </xdr:nvSpPr>
          <xdr:spPr>
            <a:xfrm>
              <a:off x="3648075" y="942975"/>
              <a:ext cx="1304925"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ADLaM Display" panose="02010000000000000000" pitchFamily="2" charset="0"/>
                  <a:ea typeface="ADLaM Display" panose="02010000000000000000" pitchFamily="2" charset="0"/>
                  <a:cs typeface="ADLaM Display" panose="02010000000000000000" pitchFamily="2" charset="0"/>
                </a:rPr>
                <a:t>Total</a:t>
              </a:r>
              <a:r>
                <a:rPr lang="en-US" sz="1400" b="1" baseline="0">
                  <a:latin typeface="ADLaM Display" panose="02010000000000000000" pitchFamily="2" charset="0"/>
                  <a:ea typeface="ADLaM Display" panose="02010000000000000000" pitchFamily="2" charset="0"/>
                  <a:cs typeface="ADLaM Display" panose="02010000000000000000" pitchFamily="2" charset="0"/>
                </a:rPr>
                <a:t> Salaries</a:t>
              </a:r>
              <a:endParaRPr lang="en-US" sz="1400" b="1">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Analysis!C5">
          <xdr:nvSpPr>
            <xdr:cNvPr id="4" name="TextBox 3">
              <a:extLst>
                <a:ext uri="{FF2B5EF4-FFF2-40B4-BE49-F238E27FC236}">
                  <a16:creationId xmlns:a16="http://schemas.microsoft.com/office/drawing/2014/main" id="{1DB1AEE5-FDCD-78DD-47ED-E6468E98C172}"/>
                </a:ext>
              </a:extLst>
            </xdr:cNvPr>
            <xdr:cNvSpPr txBox="1"/>
          </xdr:nvSpPr>
          <xdr:spPr>
            <a:xfrm>
              <a:off x="3810000" y="1228724"/>
              <a:ext cx="10287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5E571F9-B657-46E7-881F-31BAB78D1684}" type="TxLink">
                <a:rPr lang="en-US" sz="2400" b="1" i="0" u="none" strike="noStrike">
                  <a:solidFill>
                    <a:schemeClr val="bg2"/>
                  </a:solidFill>
                  <a:latin typeface="Aharoni" panose="02010803020104030203" pitchFamily="2" charset="-79"/>
                  <a:ea typeface="ADLaM Display" panose="02010000000000000000" pitchFamily="2" charset="0"/>
                  <a:cs typeface="Aharoni" panose="02010803020104030203" pitchFamily="2" charset="-79"/>
                </a:rPr>
                <a:t>$4,962,657</a:t>
              </a:fld>
              <a:endParaRPr lang="en-US" sz="2400" b="1" u="none">
                <a:solidFill>
                  <a:schemeClr val="bg2"/>
                </a:solidFill>
                <a:latin typeface="Aharoni" panose="02010803020104030203" pitchFamily="2" charset="-79"/>
                <a:ea typeface="ADLaM Display" panose="02010000000000000000" pitchFamily="2" charset="0"/>
                <a:cs typeface="Aharoni" panose="02010803020104030203" pitchFamily="2" charset="-79"/>
              </a:endParaRPr>
            </a:p>
          </xdr:txBody>
        </xdr:sp>
      </xdr:grpSp>
      <xdr:grpSp>
        <xdr:nvGrpSpPr>
          <xdr:cNvPr id="6" name="Group 5">
            <a:extLst>
              <a:ext uri="{FF2B5EF4-FFF2-40B4-BE49-F238E27FC236}">
                <a16:creationId xmlns:a16="http://schemas.microsoft.com/office/drawing/2014/main" id="{1F592BA5-D53F-4D90-B7C9-61028E7149D3}"/>
              </a:ext>
            </a:extLst>
          </xdr:cNvPr>
          <xdr:cNvGrpSpPr/>
        </xdr:nvGrpSpPr>
        <xdr:grpSpPr>
          <a:xfrm>
            <a:off x="6062663" y="928687"/>
            <a:ext cx="1304925" cy="590549"/>
            <a:chOff x="3648075" y="942975"/>
            <a:chExt cx="1304925" cy="590549"/>
          </a:xfrm>
        </xdr:grpSpPr>
        <xdr:sp macro="" textlink="">
          <xdr:nvSpPr>
            <xdr:cNvPr id="7" name="Rectangle: Rounded Corners 6">
              <a:extLst>
                <a:ext uri="{FF2B5EF4-FFF2-40B4-BE49-F238E27FC236}">
                  <a16:creationId xmlns:a16="http://schemas.microsoft.com/office/drawing/2014/main" id="{03F64D0A-46D5-47B1-CD2D-90ACD0F031D1}"/>
                </a:ext>
              </a:extLst>
            </xdr:cNvPr>
            <xdr:cNvSpPr/>
          </xdr:nvSpPr>
          <xdr:spPr>
            <a:xfrm>
              <a:off x="3648075" y="942975"/>
              <a:ext cx="1304925"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ADLaM Display" panose="02010000000000000000" pitchFamily="2" charset="0"/>
                  <a:ea typeface="ADLaM Display" panose="02010000000000000000" pitchFamily="2" charset="0"/>
                  <a:cs typeface="ADLaM Display" panose="02010000000000000000" pitchFamily="2" charset="0"/>
                </a:rPr>
                <a:t>Departments</a:t>
              </a:r>
            </a:p>
          </xdr:txBody>
        </xdr:sp>
        <xdr:sp macro="" textlink="Analysis!D5">
          <xdr:nvSpPr>
            <xdr:cNvPr id="8" name="TextBox 7">
              <a:extLst>
                <a:ext uri="{FF2B5EF4-FFF2-40B4-BE49-F238E27FC236}">
                  <a16:creationId xmlns:a16="http://schemas.microsoft.com/office/drawing/2014/main" id="{52D0E52A-D2ED-97E0-FC55-2F8595733E39}"/>
                </a:ext>
              </a:extLst>
            </xdr:cNvPr>
            <xdr:cNvSpPr txBox="1"/>
          </xdr:nvSpPr>
          <xdr:spPr>
            <a:xfrm>
              <a:off x="3781425" y="1109663"/>
              <a:ext cx="1028700" cy="423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3BA676E5-275E-40C2-8C7F-1D3CA8AF0C6F}" type="TxLink">
                <a:rPr lang="en-US" sz="4000" b="0" i="0" u="none" strike="noStrike">
                  <a:solidFill>
                    <a:schemeClr val="bg2"/>
                  </a:solidFill>
                  <a:latin typeface="Aharoni" panose="02010803020104030203" pitchFamily="2" charset="-79"/>
                  <a:ea typeface="ADLaM Display" panose="02010000000000000000" pitchFamily="2" charset="0"/>
                  <a:cs typeface="Aharoni" panose="02010803020104030203" pitchFamily="2" charset="-79"/>
                </a:rPr>
                <a:pPr algn="ctr"/>
                <a:t>7</a:t>
              </a:fld>
              <a:endParaRPr lang="en-US" sz="4000" b="1" u="none">
                <a:solidFill>
                  <a:schemeClr val="bg2"/>
                </a:solidFill>
                <a:latin typeface="Aharoni" panose="02010803020104030203" pitchFamily="2" charset="-79"/>
                <a:ea typeface="ADLaM Display" panose="02010000000000000000" pitchFamily="2" charset="0"/>
                <a:cs typeface="Aharoni" panose="02010803020104030203" pitchFamily="2" charset="-79"/>
              </a:endParaRPr>
            </a:p>
          </xdr:txBody>
        </xdr:sp>
      </xdr:grpSp>
      <xdr:grpSp>
        <xdr:nvGrpSpPr>
          <xdr:cNvPr id="9" name="Group 8">
            <a:extLst>
              <a:ext uri="{FF2B5EF4-FFF2-40B4-BE49-F238E27FC236}">
                <a16:creationId xmlns:a16="http://schemas.microsoft.com/office/drawing/2014/main" id="{A034568B-3793-4A11-A194-0918204155B5}"/>
              </a:ext>
            </a:extLst>
          </xdr:cNvPr>
          <xdr:cNvGrpSpPr/>
        </xdr:nvGrpSpPr>
        <xdr:grpSpPr>
          <a:xfrm>
            <a:off x="8467725" y="928687"/>
            <a:ext cx="1304925" cy="591152"/>
            <a:chOff x="3648075" y="942975"/>
            <a:chExt cx="1304925" cy="591152"/>
          </a:xfrm>
        </xdr:grpSpPr>
        <xdr:sp macro="" textlink="">
          <xdr:nvSpPr>
            <xdr:cNvPr id="10" name="Rectangle: Rounded Corners 9">
              <a:extLst>
                <a:ext uri="{FF2B5EF4-FFF2-40B4-BE49-F238E27FC236}">
                  <a16:creationId xmlns:a16="http://schemas.microsoft.com/office/drawing/2014/main" id="{03D2D1B2-4D9A-A042-CFE9-5DB539992154}"/>
                </a:ext>
              </a:extLst>
            </xdr:cNvPr>
            <xdr:cNvSpPr/>
          </xdr:nvSpPr>
          <xdr:spPr>
            <a:xfrm>
              <a:off x="3648075" y="942975"/>
              <a:ext cx="1304925"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ADLaM Display" panose="02010000000000000000" pitchFamily="2" charset="0"/>
                  <a:ea typeface="ADLaM Display" panose="02010000000000000000" pitchFamily="2" charset="0"/>
                  <a:cs typeface="ADLaM Display" panose="02010000000000000000" pitchFamily="2" charset="0"/>
                </a:rPr>
                <a:t>Locations</a:t>
              </a:r>
              <a:endParaRPr lang="en-US" sz="1200" b="1">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Analysis!E5">
          <xdr:nvSpPr>
            <xdr:cNvPr id="11" name="TextBox 10">
              <a:extLst>
                <a:ext uri="{FF2B5EF4-FFF2-40B4-BE49-F238E27FC236}">
                  <a16:creationId xmlns:a16="http://schemas.microsoft.com/office/drawing/2014/main" id="{5F02E105-C2A7-0B0D-5956-AD0BC12CBA46}"/>
                </a:ext>
              </a:extLst>
            </xdr:cNvPr>
            <xdr:cNvSpPr txBox="1"/>
          </xdr:nvSpPr>
          <xdr:spPr>
            <a:xfrm>
              <a:off x="3810000" y="1109620"/>
              <a:ext cx="1028700" cy="424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B5A8A0-7ED0-4AAF-89F9-368810963AB3}" type="TxLink">
                <a:rPr lang="en-US" sz="4000" b="1" i="0" u="none" strike="noStrike">
                  <a:solidFill>
                    <a:schemeClr val="bg2"/>
                  </a:solidFill>
                  <a:latin typeface="Aharoni" panose="02010803020104030203" pitchFamily="2" charset="-79"/>
                  <a:ea typeface="ADLaM Display" panose="02010000000000000000" pitchFamily="2" charset="0"/>
                  <a:cs typeface="Aharoni" panose="02010803020104030203" pitchFamily="2" charset="-79"/>
                </a:rPr>
                <a:pPr algn="ctr"/>
                <a:t>7</a:t>
              </a:fld>
              <a:endParaRPr lang="en-US" sz="6000" b="1" u="none">
                <a:solidFill>
                  <a:schemeClr val="bg2"/>
                </a:solidFill>
                <a:latin typeface="Aharoni" panose="02010803020104030203" pitchFamily="2" charset="-79"/>
                <a:ea typeface="ADLaM Display" panose="02010000000000000000" pitchFamily="2" charset="0"/>
                <a:cs typeface="Aharoni" panose="02010803020104030203" pitchFamily="2" charset="-79"/>
              </a:endParaRPr>
            </a:p>
          </xdr:txBody>
        </xdr:sp>
      </xdr:grpSp>
    </xdr:grpSp>
    <xdr:clientData/>
  </xdr:twoCellAnchor>
  <xdr:twoCellAnchor>
    <xdr:from>
      <xdr:col>1</xdr:col>
      <xdr:colOff>0</xdr:colOff>
      <xdr:row>8</xdr:row>
      <xdr:rowOff>171450</xdr:rowOff>
    </xdr:from>
    <xdr:to>
      <xdr:col>8</xdr:col>
      <xdr:colOff>304800</xdr:colOff>
      <xdr:row>20</xdr:row>
      <xdr:rowOff>180975</xdr:rowOff>
    </xdr:to>
    <xdr:graphicFrame macro="">
      <xdr:nvGraphicFramePr>
        <xdr:cNvPr id="13" name="Chart 12">
          <a:extLst>
            <a:ext uri="{FF2B5EF4-FFF2-40B4-BE49-F238E27FC236}">
              <a16:creationId xmlns:a16="http://schemas.microsoft.com/office/drawing/2014/main" id="{B7E3AFF5-049D-407C-878E-BB28231A2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298450</xdr:colOff>
      <xdr:row>8</xdr:row>
      <xdr:rowOff>171449</xdr:rowOff>
    </xdr:from>
    <xdr:to>
      <xdr:col>21</xdr:col>
      <xdr:colOff>454</xdr:colOff>
      <xdr:row>35</xdr:row>
      <xdr:rowOff>13606</xdr:rowOff>
    </xdr:to>
    <xdr:graphicFrame macro="">
      <xdr:nvGraphicFramePr>
        <xdr:cNvPr id="14" name="Chart 13">
          <a:extLst>
            <a:ext uri="{FF2B5EF4-FFF2-40B4-BE49-F238E27FC236}">
              <a16:creationId xmlns:a16="http://schemas.microsoft.com/office/drawing/2014/main" id="{33E172C8-4D0A-49C1-A415-5E39EA639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573088</xdr:colOff>
      <xdr:row>8</xdr:row>
      <xdr:rowOff>171450</xdr:rowOff>
    </xdr:from>
    <xdr:to>
      <xdr:col>13</xdr:col>
      <xdr:colOff>30162</xdr:colOff>
      <xdr:row>20</xdr:row>
      <xdr:rowOff>180594</xdr:rowOff>
    </xdr:to>
    <xdr:graphicFrame macro="">
      <xdr:nvGraphicFramePr>
        <xdr:cNvPr id="15" name="Chart 14">
          <a:extLst>
            <a:ext uri="{FF2B5EF4-FFF2-40B4-BE49-F238E27FC236}">
              <a16:creationId xmlns:a16="http://schemas.microsoft.com/office/drawing/2014/main" id="{6F24B52E-2A25-4F16-BF7C-2D37DBE09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572960</xdr:colOff>
      <xdr:row>22</xdr:row>
      <xdr:rowOff>171450</xdr:rowOff>
    </xdr:from>
    <xdr:to>
      <xdr:col>13</xdr:col>
      <xdr:colOff>30416</xdr:colOff>
      <xdr:row>34</xdr:row>
      <xdr:rowOff>180594</xdr:rowOff>
    </xdr:to>
    <xdr:graphicFrame macro="">
      <xdr:nvGraphicFramePr>
        <xdr:cNvPr id="16" name="Chart 15">
          <a:extLst>
            <a:ext uri="{FF2B5EF4-FFF2-40B4-BE49-F238E27FC236}">
              <a16:creationId xmlns:a16="http://schemas.microsoft.com/office/drawing/2014/main" id="{C145C865-AB27-4EFB-8D99-EA305E670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23</xdr:row>
      <xdr:rowOff>0</xdr:rowOff>
    </xdr:from>
    <xdr:to>
      <xdr:col>8</xdr:col>
      <xdr:colOff>304800</xdr:colOff>
      <xdr:row>35</xdr:row>
      <xdr:rowOff>9144</xdr:rowOff>
    </xdr:to>
    <xdr:graphicFrame macro="">
      <xdr:nvGraphicFramePr>
        <xdr:cNvPr id="18" name="Chart 17">
          <a:extLst>
            <a:ext uri="{FF2B5EF4-FFF2-40B4-BE49-F238E27FC236}">
              <a16:creationId xmlns:a16="http://schemas.microsoft.com/office/drawing/2014/main" id="{B89F88C4-E7ED-4BAC-B582-58CDC901A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298576</xdr:colOff>
      <xdr:row>36</xdr:row>
      <xdr:rowOff>123823</xdr:rowOff>
    </xdr:from>
    <xdr:to>
      <xdr:col>21</xdr:col>
      <xdr:colOff>580</xdr:colOff>
      <xdr:row>51</xdr:row>
      <xdr:rowOff>9523</xdr:rowOff>
    </xdr:to>
    <xdr:graphicFrame macro="">
      <xdr:nvGraphicFramePr>
        <xdr:cNvPr id="17" name="Chart 16">
          <a:extLst>
            <a:ext uri="{FF2B5EF4-FFF2-40B4-BE49-F238E27FC236}">
              <a16:creationId xmlns:a16="http://schemas.microsoft.com/office/drawing/2014/main" id="{4063363F-246E-467E-A918-70F99D1F6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36</xdr:row>
      <xdr:rowOff>123823</xdr:rowOff>
    </xdr:from>
    <xdr:to>
      <xdr:col>13</xdr:col>
      <xdr:colOff>0</xdr:colOff>
      <xdr:row>51</xdr:row>
      <xdr:rowOff>9523</xdr:rowOff>
    </xdr:to>
    <xdr:graphicFrame macro="">
      <xdr:nvGraphicFramePr>
        <xdr:cNvPr id="20" name="Chart 19">
          <a:extLst>
            <a:ext uri="{FF2B5EF4-FFF2-40B4-BE49-F238E27FC236}">
              <a16:creationId xmlns:a16="http://schemas.microsoft.com/office/drawing/2014/main" id="{36CE6087-9DD5-402A-81F9-82525CED5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277703</xdr:colOff>
      <xdr:row>1</xdr:row>
      <xdr:rowOff>64632</xdr:rowOff>
    </xdr:from>
    <xdr:to>
      <xdr:col>21</xdr:col>
      <xdr:colOff>454</xdr:colOff>
      <xdr:row>8</xdr:row>
      <xdr:rowOff>71438</xdr:rowOff>
    </xdr:to>
    <mc:AlternateContent xmlns:mc="http://schemas.openxmlformats.org/markup-compatibility/2006">
      <mc:Choice xmlns:a14="http://schemas.microsoft.com/office/drawing/2010/main" Requires="a14">
        <xdr:graphicFrame macro="">
          <xdr:nvGraphicFramePr>
            <xdr:cNvPr id="22" name="Department">
              <a:extLst>
                <a:ext uri="{FF2B5EF4-FFF2-40B4-BE49-F238E27FC236}">
                  <a16:creationId xmlns:a16="http://schemas.microsoft.com/office/drawing/2014/main" id="{B0331FB6-93FD-4841-B0B6-880FAE1B07C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099036" y="921882"/>
              <a:ext cx="2791918" cy="13403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xdr:row>
      <xdr:rowOff>102053</xdr:rowOff>
    </xdr:from>
    <xdr:to>
      <xdr:col>4</xdr:col>
      <xdr:colOff>571500</xdr:colOff>
      <xdr:row>8</xdr:row>
      <xdr:rowOff>34017</xdr:rowOff>
    </xdr:to>
    <mc:AlternateContent xmlns:mc="http://schemas.openxmlformats.org/markup-compatibility/2006">
      <mc:Choice xmlns:a14="http://schemas.microsoft.com/office/drawing/2010/main" Requires="a14">
        <xdr:graphicFrame macro="">
          <xdr:nvGraphicFramePr>
            <xdr:cNvPr id="25" name="Job Level">
              <a:extLst>
                <a:ext uri="{FF2B5EF4-FFF2-40B4-BE49-F238E27FC236}">
                  <a16:creationId xmlns:a16="http://schemas.microsoft.com/office/drawing/2014/main" id="{0AE19D51-E327-4A7B-9900-33816F9E9B15}"/>
                </a:ext>
              </a:extLst>
            </xdr:cNvPr>
            <xdr:cNvGraphicFramePr/>
          </xdr:nvGraphicFramePr>
          <xdr:xfrm>
            <a:off x="0" y="0"/>
            <a:ext cx="0" cy="0"/>
          </xdr:xfrm>
          <a:graphic>
            <a:graphicData uri="http://schemas.microsoft.com/office/drawing/2010/slicer">
              <sle:slicer xmlns:sle="http://schemas.microsoft.com/office/drawing/2010/slicer" name="Job Level"/>
            </a:graphicData>
          </a:graphic>
        </xdr:graphicFrame>
      </mc:Choice>
      <mc:Fallback>
        <xdr:sp macro="" textlink="">
          <xdr:nvSpPr>
            <xdr:cNvPr id="0" name=""/>
            <xdr:cNvSpPr>
              <a:spLocks noTextEdit="1"/>
            </xdr:cNvSpPr>
          </xdr:nvSpPr>
          <xdr:spPr>
            <a:xfrm>
              <a:off x="613833" y="959303"/>
              <a:ext cx="2413000" cy="12654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0</xdr:row>
      <xdr:rowOff>253999</xdr:rowOff>
    </xdr:from>
    <xdr:to>
      <xdr:col>4</xdr:col>
      <xdr:colOff>134790</xdr:colOff>
      <xdr:row>1</xdr:row>
      <xdr:rowOff>9397</xdr:rowOff>
    </xdr:to>
    <xdr:sp macro="" textlink="">
      <xdr:nvSpPr>
        <xdr:cNvPr id="28" name="Arrow: Left 27">
          <a:hlinkClick xmlns:r="http://schemas.openxmlformats.org/officeDocument/2006/relationships" r:id="rId8"/>
          <a:extLst>
            <a:ext uri="{FF2B5EF4-FFF2-40B4-BE49-F238E27FC236}">
              <a16:creationId xmlns:a16="http://schemas.microsoft.com/office/drawing/2014/main" id="{20B25C8F-2C80-46BB-6392-E270EC5FBDB6}"/>
            </a:ext>
          </a:extLst>
        </xdr:cNvPr>
        <xdr:cNvSpPr/>
      </xdr:nvSpPr>
      <xdr:spPr>
        <a:xfrm>
          <a:off x="1227667" y="253999"/>
          <a:ext cx="1362456" cy="612648"/>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2"/>
              </a:solidFill>
              <a:latin typeface="Aharoni" panose="02010803020104030203" pitchFamily="2" charset="-79"/>
              <a:cs typeface="Aharoni" panose="02010803020104030203" pitchFamily="2" charset="-79"/>
            </a:rPr>
            <a:t>Analysis</a:t>
          </a:r>
          <a:endParaRPr lang="en-US" sz="1600" b="1">
            <a:solidFill>
              <a:schemeClr val="bg2"/>
            </a:solidFill>
            <a:latin typeface="Aharoni" panose="02010803020104030203" pitchFamily="2" charset="-79"/>
            <a:cs typeface="Aharoni" panose="02010803020104030203" pitchFamily="2" charset="-79"/>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3.716268055556" backgroundQuery="1" createdVersion="8" refreshedVersion="8" minRefreshableVersion="3" recordCount="0" supportSubquery="1" supportAdvancedDrill="1" xr:uid="{5970B852-F10E-45E6-8959-A895F648CCE9}">
  <cacheSource type="external" connectionId="3"/>
  <cacheFields count="2">
    <cacheField name="[Measures].[AVG_Salary]" caption="AVG_Salary" numFmtId="0" hierarchy="15" level="32767"/>
    <cacheField name="[HR Salary].[Department].[Department]" caption="Department" numFmtId="0" hierarchy="1" level="1">
      <sharedItems count="7">
        <s v="Finance"/>
        <s v="HR"/>
        <s v="IT"/>
        <s v="Marketing"/>
        <s v="Operations"/>
        <s v="R&amp;D"/>
        <s v="Sales"/>
      </sharedItems>
    </cacheField>
  </cacheFields>
  <cacheHierarchies count="23">
    <cacheHierarchy uniqueName="[HR Salary].[Name]" caption="Name" attribute="1" defaultMemberUniqueName="[HR Salary].[Name].[All]" allUniqueName="[HR Salary].[Name].[All]" dimensionUniqueName="[HR Salary]" displayFolder="" count="2"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1"/>
      </fieldsUsage>
    </cacheHierarchy>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2" memberValueDatatype="130" unbalanced="0"/>
    <cacheHierarchy uniqueName="[HR Salary].[Experience (Years)]" caption="Experience (Years)" attribute="1" defaultMemberUniqueName="[HR Salary].[Experience (Years)].[All]" allUniqueName="[HR Salary].[Experience (Years)].[All]" dimensionUniqueName="[HR Salary]" displayFolder="" count="2" memberValueDatatype="20" unbalanced="0"/>
    <cacheHierarchy uniqueName="[HR Salary].[Location]" caption="Location" attribute="1" defaultMemberUniqueName="[HR Salary].[Location].[All]" allUniqueName="[HR Salary].[Location].[All]" dimensionUniqueName="[HR Salary]" displayFolder="" count="2" memberValueDatatype="130" unbalanced="0"/>
    <cacheHierarchy uniqueName="[HR Salary].[Education Level]" caption="Education Level" attribute="1" defaultMemberUniqueName="[HR Salary].[Education Level].[All]" allUniqueName="[HR Salary].[Education Level].[All]" dimensionUniqueName="[HR Salary]" displayFolder="" count="2" memberValueDatatype="130" unbalanced="0"/>
    <cacheHierarchy uniqueName="[Job Class].[Job Title]" caption="Job Title" attribute="1" defaultMemberUniqueName="[Job Class].[Job Title].[All]" allUniqueName="[Job Class].[Job Title].[All]" dimensionUniqueName="[Job Class]" displayFolder="" count="2"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HR Salary].[Age]" caption="Age" attribute="1" defaultMemberUniqueName="[HR Salary].[Age].[All]" allUniqueName="[HR Salary].[Age].[All]" dimensionUniqueName="[HR Salary]" displayFolder="" count="2" memberValueDatatype="20" unbalanced="0" hidden="1"/>
    <cacheHierarchy uniqueName="[HR Salary].[Employee ID]" caption="Employee ID" attribute="1" defaultMemberUniqueName="[HR Salary].[Employee ID].[All]" allUniqueName="[HR Salary].[Employee ID].[All]" dimensionUniqueName="[HR Salary]" displayFolder="" count="2" memberValueDatatype="130" unbalanced="0" hidden="1"/>
    <cacheHierarchy uniqueName="[HR Salary].[Salary]" caption="Salary" attribute="1" defaultMemberUniqueName="[HR Salary].[Salary].[All]" allUniqueName="[HR Salary].[Salary].[All]" dimensionUniqueName="[HR Salary]" displayFolder="" count="2" memberValueDatatype="20" unbalanced="0" hidden="1"/>
    <cacheHierarchy uniqueName="[Measures].[Number Of Employees]" caption="Number Of Employees" measure="1" displayFolder="" measureGroup="HR Salary" count="0"/>
    <cacheHierarchy uniqueName="[Measures].[AVG_Age]" caption="AVG_Age" measure="1" displayFolder="" measureGroup="HR Salary" count="0"/>
    <cacheHierarchy uniqueName="[Measures].[AVG_EXP(Years)]" caption="AVG_EXP(Years)" measure="1" displayFolder="" measureGroup="HR Salary" count="0"/>
    <cacheHierarchy uniqueName="[Measures].[AVG_Salary]" caption="AVG_Salary" measure="1" displayFolder="" measureGroup="HR Salary" count="0" oneField="1">
      <fieldsUsage count="1">
        <fieldUsage x="0"/>
      </fieldsUsage>
    </cacheHierarchy>
    <cacheHierarchy uniqueName="[Measures].[Total Salary]" caption="Total Salary"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4"/>
        </ext>
      </extLst>
    </cacheHierarchy>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3.716268634256" backgroundQuery="1" createdVersion="8" refreshedVersion="8" minRefreshableVersion="3" recordCount="0" supportSubquery="1" supportAdvancedDrill="1" xr:uid="{DD88EEAE-40FA-4E77-A07F-2F6039EE694B}">
  <cacheSource type="external" connectionId="3"/>
  <cacheFields count="4">
    <cacheField name="[Measures].[Total Salary]" caption="Total Salary" numFmtId="0" hierarchy="16" level="32767"/>
    <cacheField name="[Measures].[Departments]" caption="Departments" numFmtId="0" hierarchy="17" level="32767"/>
    <cacheField name="[Measures].[Locations]" caption="Locations" numFmtId="0" hierarchy="18" level="32767"/>
    <cacheField name="[HR Salary].[Department].[Department]" caption="Department" numFmtId="0" hierarchy="1" level="1">
      <sharedItems containsSemiMixedTypes="0" containsNonDate="0" containsString="0"/>
    </cacheField>
  </cacheFields>
  <cacheHierarchies count="23">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3"/>
      </fieldsUsage>
    </cacheHierarchy>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Number Of Employees]" caption="Number Of Employees" measure="1" displayFolder="" measureGroup="HR Salary" count="0"/>
    <cacheHierarchy uniqueName="[Measures].[AVG_Age]" caption="AVG_Age" measure="1" displayFolder="" measureGroup="HR Salary" count="0"/>
    <cacheHierarchy uniqueName="[Measures].[AVG_EXP(Years)]" caption="AVG_EXP(Years)" measure="1" displayFolder="" measureGroup="HR Salary" count="0"/>
    <cacheHierarchy uniqueName="[Measures].[AVG_Salary]" caption="AVG_Salary" measure="1" displayFolder="" measureGroup="HR Salary" count="0"/>
    <cacheHierarchy uniqueName="[Measures].[Total Salary]" caption="Total Salary" measure="1" displayFolder="" measureGroup="HR Salary" count="0" oneField="1">
      <fieldsUsage count="1">
        <fieldUsage x="0"/>
      </fieldsUsage>
    </cacheHierarchy>
    <cacheHierarchy uniqueName="[Measures].[Departments]" caption="Departments" measure="1" displayFolder="" measureGroup="HR Salary" count="0" oneField="1">
      <fieldsUsage count="1">
        <fieldUsage x="1"/>
      </fieldsUsage>
    </cacheHierarchy>
    <cacheHierarchy uniqueName="[Measures].[Locations]" caption="Locations" measure="1" displayFolder="" measureGroup="HR Salary" count="0" oneField="1">
      <fieldsUsage count="1">
        <fieldUsage x="2"/>
      </fieldsUsage>
    </cacheHierarchy>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4"/>
        </ext>
      </extLst>
    </cacheHierarchy>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3.716269560187" backgroundQuery="1" createdVersion="8" refreshedVersion="8" minRefreshableVersion="3" recordCount="0" supportSubquery="1" supportAdvancedDrill="1" xr:uid="{0C88F197-9F0F-4430-A3B3-AEFA34FE7B08}">
  <cacheSource type="external" connectionId="3"/>
  <cacheFields count="3">
    <cacheField name="[HR Salary].[Job Title].[Job Title]" caption="Job Title" numFmtId="0" hierarchy="2" level="1">
      <sharedItems count="21">
        <s v="Account Manager"/>
        <s v="Accountant"/>
        <s v="Data Scientist"/>
        <s v="Finance Manager"/>
        <s v="Financial Analyst"/>
        <s v="HR Assistant"/>
        <s v="HR Manager"/>
        <s v="IT Manager"/>
        <s v="Logistics Coordinator"/>
        <s v="Marketing Executive"/>
        <s v="Marketing Manager"/>
        <s v="Operations Executive"/>
        <s v="Operations Manager"/>
        <s v="R&amp;D Manager"/>
        <s v="Recruiter"/>
        <s v="Research Analyst"/>
        <s v="Sales Executive"/>
        <s v="Sales Manager"/>
        <s v="SEO Specialist"/>
        <s v="Software Engineer"/>
        <s v="System Admin"/>
      </sharedItems>
    </cacheField>
    <cacheField name="[Measures].[AVG_Salary]" caption="AVG_Salary" numFmtId="0" hierarchy="15" level="32767"/>
    <cacheField name="[HR Salary].[Department].[Department]" caption="Department" numFmtId="0" hierarchy="1" level="1">
      <sharedItems containsSemiMixedTypes="0" containsNonDate="0" containsString="0"/>
    </cacheField>
  </cacheFields>
  <cacheHierarchies count="23">
    <cacheHierarchy uniqueName="[HR Salary].[Name]" caption="Name" attribute="1" defaultMemberUniqueName="[HR Salary].[Name].[All]" allUniqueName="[HR Salary].[Name].[All]" dimensionUniqueName="[HR Salary]" displayFolder="" count="2"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2"/>
      </fieldsUsage>
    </cacheHierarchy>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0"/>
      </fieldsUsage>
    </cacheHierarchy>
    <cacheHierarchy uniqueName="[HR Salary].[Gender]" caption="Gender" attribute="1" defaultMemberUniqueName="[HR Salary].[Gender].[All]" allUniqueName="[HR Salary].[Gender].[All]" dimensionUniqueName="[HR Salary]" displayFolder="" count="2" memberValueDatatype="130" unbalanced="0"/>
    <cacheHierarchy uniqueName="[HR Salary].[Experience (Years)]" caption="Experience (Years)" attribute="1" defaultMemberUniqueName="[HR Salary].[Experience (Years)].[All]" allUniqueName="[HR Salary].[Experience (Years)].[All]" dimensionUniqueName="[HR Salary]" displayFolder="" count="2" memberValueDatatype="20" unbalanced="0"/>
    <cacheHierarchy uniqueName="[HR Salary].[Location]" caption="Location" attribute="1" defaultMemberUniqueName="[HR Salary].[Location].[All]" allUniqueName="[HR Salary].[Location].[All]" dimensionUniqueName="[HR Salary]" displayFolder="" count="2" memberValueDatatype="130" unbalanced="0"/>
    <cacheHierarchy uniqueName="[HR Salary].[Education Level]" caption="Education Level" attribute="1" defaultMemberUniqueName="[HR Salary].[Education Level].[All]" allUniqueName="[HR Salary].[Education Level].[All]" dimensionUniqueName="[HR Salary]" displayFolder="" count="2" memberValueDatatype="130" unbalanced="0"/>
    <cacheHierarchy uniqueName="[Job Class].[Job Title]" caption="Job Title" attribute="1" defaultMemberUniqueName="[Job Class].[Job Title].[All]" allUniqueName="[Job Class].[Job Title].[All]" dimensionUniqueName="[Job Class]" displayFolder="" count="2"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HR Salary].[Age]" caption="Age" attribute="1" defaultMemberUniqueName="[HR Salary].[Age].[All]" allUniqueName="[HR Salary].[Age].[All]" dimensionUniqueName="[HR Salary]" displayFolder="" count="2" memberValueDatatype="20" unbalanced="0" hidden="1"/>
    <cacheHierarchy uniqueName="[HR Salary].[Employee ID]" caption="Employee ID" attribute="1" defaultMemberUniqueName="[HR Salary].[Employee ID].[All]" allUniqueName="[HR Salary].[Employee ID].[All]" dimensionUniqueName="[HR Salary]" displayFolder="" count="2" memberValueDatatype="130" unbalanced="0" hidden="1"/>
    <cacheHierarchy uniqueName="[HR Salary].[Salary]" caption="Salary" attribute="1" defaultMemberUniqueName="[HR Salary].[Salary].[All]" allUniqueName="[HR Salary].[Salary].[All]" dimensionUniqueName="[HR Salary]" displayFolder="" count="2" memberValueDatatype="20" unbalanced="0" hidden="1"/>
    <cacheHierarchy uniqueName="[Measures].[Number Of Employees]" caption="Number Of Employees" measure="1" displayFolder="" measureGroup="HR Salary" count="0"/>
    <cacheHierarchy uniqueName="[Measures].[AVG_Age]" caption="AVG_Age" measure="1" displayFolder="" measureGroup="HR Salary" count="0"/>
    <cacheHierarchy uniqueName="[Measures].[AVG_EXP(Years)]" caption="AVG_EXP(Years)" measure="1" displayFolder="" measureGroup="HR Salary" count="0"/>
    <cacheHierarchy uniqueName="[Measures].[AVG_Salary]" caption="AVG_Salary" measure="1" displayFolder="" measureGroup="HR Salary" count="0" oneField="1">
      <fieldsUsage count="1">
        <fieldUsage x="1"/>
      </fieldsUsage>
    </cacheHierarchy>
    <cacheHierarchy uniqueName="[Measures].[Total Salary]" caption="Total Salary"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4"/>
        </ext>
      </extLst>
    </cacheHierarchy>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3.716270486111" backgroundQuery="1" createdVersion="8" refreshedVersion="8" minRefreshableVersion="3" recordCount="0" supportSubquery="1" supportAdvancedDrill="1" xr:uid="{E398E662-5435-4286-9F5F-3E0262143FC5}">
  <cacheSource type="external" connectionId="3"/>
  <cacheFields count="3">
    <cacheField name="[HR Salary].[Gender].[Gender]" caption="Gender" numFmtId="0" hierarchy="3" level="1">
      <sharedItems count="2">
        <s v="Female"/>
        <s v="Male"/>
      </sharedItems>
    </cacheField>
    <cacheField name="[Measures].[Total Salary]" caption="Total Salary" numFmtId="0" hierarchy="16" level="32767"/>
    <cacheField name="[HR Salary].[Department].[Department]" caption="Department" numFmtId="0" hierarchy="1" level="1">
      <sharedItems containsSemiMixedTypes="0" containsNonDate="0" containsString="0"/>
    </cacheField>
  </cacheFields>
  <cacheHierarchies count="23">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2"/>
      </fieldsUsage>
    </cacheHierarchy>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2" memberValueDatatype="130" unbalanced="0">
      <fieldsUsage count="2">
        <fieldUsage x="-1"/>
        <fieldUsage x="0"/>
      </fieldsUsage>
    </cacheHierarchy>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Number Of Employees]" caption="Number Of Employees" measure="1" displayFolder="" measureGroup="HR Salary" count="0"/>
    <cacheHierarchy uniqueName="[Measures].[AVG_Age]" caption="AVG_Age" measure="1" displayFolder="" measureGroup="HR Salary" count="0"/>
    <cacheHierarchy uniqueName="[Measures].[AVG_EXP(Years)]" caption="AVG_EXP(Years)" measure="1" displayFolder="" measureGroup="HR Salary" count="0"/>
    <cacheHierarchy uniqueName="[Measures].[AVG_Salary]" caption="AVG_Salary" measure="1" displayFolder="" measureGroup="HR Salary" count="0"/>
    <cacheHierarchy uniqueName="[Measures].[Total Salary]" caption="Total Salary" measure="1" displayFolder="" measureGroup="HR Salary" count="0" oneField="1">
      <fieldsUsage count="1">
        <fieldUsage x="1"/>
      </fieldsUsage>
    </cacheHierarchy>
    <cacheHierarchy uniqueName="[Measures].[Departments]" caption="Departments" measure="1" displayFolder="" measureGroup="HR Salary" count="0"/>
    <cacheHierarchy uniqueName="[Measures].[Locations]" caption="Locations"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4"/>
        </ext>
      </extLst>
    </cacheHierarchy>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3.716271296296" backgroundQuery="1" createdVersion="8" refreshedVersion="8" minRefreshableVersion="3" recordCount="0" supportSubquery="1" supportAdvancedDrill="1" xr:uid="{C1CF58A8-39E5-483E-A59E-5CA76C2C63FA}">
  <cacheSource type="external" connectionId="3"/>
  <cacheFields count="3">
    <cacheField name="[HR Salary].[Gender].[Gender]" caption="Gender" numFmtId="0" hierarchy="3" level="1">
      <sharedItems count="2">
        <s v="Female"/>
        <s v="Male"/>
      </sharedItems>
    </cacheField>
    <cacheField name="[Measures].[Number Of Employees]" caption="Number Of Employees" numFmtId="0" hierarchy="12" level="32767"/>
    <cacheField name="[HR Salary].[Department].[Department]" caption="Department" numFmtId="0" hierarchy="1" level="1">
      <sharedItems containsSemiMixedTypes="0" containsNonDate="0" containsString="0"/>
    </cacheField>
  </cacheFields>
  <cacheHierarchies count="23">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2"/>
      </fieldsUsage>
    </cacheHierarchy>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2" memberValueDatatype="130" unbalanced="0">
      <fieldsUsage count="2">
        <fieldUsage x="-1"/>
        <fieldUsage x="0"/>
      </fieldsUsage>
    </cacheHierarchy>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Number Of Employees]" caption="Number Of Employees" measure="1" displayFolder="" measureGroup="HR Salary" count="0" oneField="1">
      <fieldsUsage count="1">
        <fieldUsage x="1"/>
      </fieldsUsage>
    </cacheHierarchy>
    <cacheHierarchy uniqueName="[Measures].[AVG_Age]" caption="AVG_Age" measure="1" displayFolder="" measureGroup="HR Salary" count="0"/>
    <cacheHierarchy uniqueName="[Measures].[AVG_EXP(Years)]" caption="AVG_EXP(Years)" measure="1" displayFolder="" measureGroup="HR Salary" count="0"/>
    <cacheHierarchy uniqueName="[Measures].[AVG_Salary]" caption="AVG_Salary" measure="1" displayFolder="" measureGroup="HR Salary" count="0"/>
    <cacheHierarchy uniqueName="[Measures].[Total Salary]" caption="Total Salary"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4"/>
        </ext>
      </extLst>
    </cacheHierarchy>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3.716271990743" backgroundQuery="1" createdVersion="8" refreshedVersion="8" minRefreshableVersion="3" recordCount="0" supportSubquery="1" supportAdvancedDrill="1" xr:uid="{750731FC-0AE8-4C6A-B4F8-ED545D5BF575}">
  <cacheSource type="external" connectionId="3"/>
  <cacheFields count="3">
    <cacheField name="[HR Salary].[Location].[Location]" caption="Location" numFmtId="0" hierarchy="5" level="1">
      <sharedItems count="7">
        <s v="Denver"/>
        <s v="Fort Worth"/>
        <s v="Houston"/>
        <s v="Indianapolis"/>
        <s v="Philadelphia"/>
        <s v="San Jose"/>
        <s v="Seattle"/>
      </sharedItems>
    </cacheField>
    <cacheField name="[Measures].[AVG_Salary]" caption="AVG_Salary" numFmtId="0" hierarchy="15" level="32767"/>
    <cacheField name="[HR Salary].[Department].[Department]" caption="Department" numFmtId="0" hierarchy="1" level="1">
      <sharedItems containsSemiMixedTypes="0" containsNonDate="0" containsString="0"/>
    </cacheField>
  </cacheFields>
  <cacheHierarchies count="23">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2"/>
      </fieldsUsage>
    </cacheHierarchy>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2" memberValueDatatype="130" unbalanced="0">
      <fieldsUsage count="2">
        <fieldUsage x="-1"/>
        <fieldUsage x="0"/>
      </fieldsUsage>
    </cacheHierarchy>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Number Of Employees]" caption="Number Of Employees" measure="1" displayFolder="" measureGroup="HR Salary" count="0"/>
    <cacheHierarchy uniqueName="[Measures].[AVG_Age]" caption="AVG_Age" measure="1" displayFolder="" measureGroup="HR Salary" count="0"/>
    <cacheHierarchy uniqueName="[Measures].[AVG_EXP(Years)]" caption="AVG_EXP(Years)" measure="1" displayFolder="" measureGroup="HR Salary" count="0"/>
    <cacheHierarchy uniqueName="[Measures].[AVG_Salary]" caption="AVG_Salary" measure="1" displayFolder="" measureGroup="HR Salary" count="0" oneField="1">
      <fieldsUsage count="1">
        <fieldUsage x="1"/>
      </fieldsUsage>
    </cacheHierarchy>
    <cacheHierarchy uniqueName="[Measures].[Total Salary]" caption="Total Salary"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4"/>
        </ext>
      </extLst>
    </cacheHierarchy>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3.716272685182" backgroundQuery="1" createdVersion="8" refreshedVersion="8" minRefreshableVersion="3" recordCount="0" supportSubquery="1" supportAdvancedDrill="1" xr:uid="{13446F8A-8F27-47CA-99C7-FBA8439D8FD1}">
  <cacheSource type="external" connectionId="3"/>
  <cacheFields count="3">
    <cacheField name="[HR Salary].[Education Level].[Education Level]" caption="Education Level" numFmtId="0" hierarchy="6" level="1">
      <sharedItems count="4">
        <s v="BSC"/>
        <s v="High School"/>
        <s v="Master"/>
        <s v="PhD"/>
      </sharedItems>
    </cacheField>
    <cacheField name="[Measures].[AVG_Salary]" caption="AVG_Salary" numFmtId="0" hierarchy="15" level="32767"/>
    <cacheField name="[HR Salary].[Department].[Department]" caption="Department" numFmtId="0" hierarchy="1" level="1">
      <sharedItems containsSemiMixedTypes="0" containsNonDate="0" containsString="0"/>
    </cacheField>
  </cacheFields>
  <cacheHierarchies count="23">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2"/>
      </fieldsUsage>
    </cacheHierarchy>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2" memberValueDatatype="130" unbalanced="0">
      <fieldsUsage count="2">
        <fieldUsage x="-1"/>
        <fieldUsage x="0"/>
      </fieldsUsage>
    </cacheHierarchy>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Number Of Employees]" caption="Number Of Employees" measure="1" displayFolder="" measureGroup="HR Salary" count="0"/>
    <cacheHierarchy uniqueName="[Measures].[AVG_Age]" caption="AVG_Age" measure="1" displayFolder="" measureGroup="HR Salary" count="0"/>
    <cacheHierarchy uniqueName="[Measures].[AVG_EXP(Years)]" caption="AVG_EXP(Years)" measure="1" displayFolder="" measureGroup="HR Salary" count="0"/>
    <cacheHierarchy uniqueName="[Measures].[AVG_Salary]" caption="AVG_Salary" measure="1" displayFolder="" measureGroup="HR Salary" count="0" oneField="1">
      <fieldsUsage count="1">
        <fieldUsage x="1"/>
      </fieldsUsage>
    </cacheHierarchy>
    <cacheHierarchy uniqueName="[Measures].[Total Salary]" caption="Total Salary"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4"/>
        </ext>
      </extLst>
    </cacheHierarchy>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3.71627326389" backgroundQuery="1" createdVersion="8" refreshedVersion="8" minRefreshableVersion="3" recordCount="0" supportSubquery="1" supportAdvancedDrill="1" xr:uid="{799134B5-EF9E-4B27-9B9B-CC5CA9E00459}">
  <cacheSource type="external" connectionId="3"/>
  <cacheFields count="3">
    <cacheField name="[Job Class].[Job Level].[Job Level]" caption="Job Level" numFmtId="0" hierarchy="8" level="1">
      <sharedItems count="3">
        <s v="Entry Level"/>
        <s v="Manager"/>
        <s v="Mid Level"/>
      </sharedItems>
    </cacheField>
    <cacheField name="[Measures].[AVG_Salary]" caption="AVG_Salary" numFmtId="0" hierarchy="15" level="32767"/>
    <cacheField name="[HR Salary].[Department].[Department]" caption="Department" numFmtId="0" hierarchy="1" level="1">
      <sharedItems containsSemiMixedTypes="0" containsNonDate="0" containsString="0"/>
    </cacheField>
  </cacheFields>
  <cacheHierarchies count="23">
    <cacheHierarchy uniqueName="[HR Salary].[Name]" caption="Name" attribute="1" defaultMemberUniqueName="[HR Salary].[Name].[All]" allUniqueName="[HR Salary].[Name].[All]" dimensionUniqueName="[HR Salary]" displayFolder="" count="2"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2"/>
      </fieldsUsage>
    </cacheHierarchy>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2" memberValueDatatype="130" unbalanced="0"/>
    <cacheHierarchy uniqueName="[HR Salary].[Experience (Years)]" caption="Experience (Years)" attribute="1" defaultMemberUniqueName="[HR Salary].[Experience (Years)].[All]" allUniqueName="[HR Salary].[Experience (Years)].[All]" dimensionUniqueName="[HR Salary]" displayFolder="" count="2" memberValueDatatype="20" unbalanced="0"/>
    <cacheHierarchy uniqueName="[HR Salary].[Location]" caption="Location" attribute="1" defaultMemberUniqueName="[HR Salary].[Location].[All]" allUniqueName="[HR Salary].[Location].[All]" dimensionUniqueName="[HR Salary]" displayFolder="" count="2" memberValueDatatype="130" unbalanced="0"/>
    <cacheHierarchy uniqueName="[HR Salary].[Education Level]" caption="Education Level" attribute="1" defaultMemberUniqueName="[HR Salary].[Education Level].[All]" allUniqueName="[HR Salary].[Education Level].[All]" dimensionUniqueName="[HR Salary]" displayFolder="" count="2" memberValueDatatype="130" unbalanced="0"/>
    <cacheHierarchy uniqueName="[Job Class].[Job Title]" caption="Job Title" attribute="1" defaultMemberUniqueName="[Job Class].[Job Title].[All]" allUniqueName="[Job Class].[Job Title].[All]" dimensionUniqueName="[Job Class]" displayFolder="" count="2" memberValueDatatype="130" unbalanced="0"/>
    <cacheHierarchy uniqueName="[Job Class].[Job Level]" caption="Job Level" attribute="1" defaultMemberUniqueName="[Job Class].[Job Level].[All]" allUniqueName="[Job Class].[Job Level].[All]" dimensionUniqueName="[Job Class]" displayFolder="" count="2" memberValueDatatype="130" unbalanced="0">
      <fieldsUsage count="2">
        <fieldUsage x="-1"/>
        <fieldUsage x="0"/>
      </fieldsUsage>
    </cacheHierarchy>
    <cacheHierarchy uniqueName="[HR Salary].[Age]" caption="Age" attribute="1" defaultMemberUniqueName="[HR Salary].[Age].[All]" allUniqueName="[HR Salary].[Age].[All]" dimensionUniqueName="[HR Salary]" displayFolder="" count="2" memberValueDatatype="20" unbalanced="0" hidden="1"/>
    <cacheHierarchy uniqueName="[HR Salary].[Employee ID]" caption="Employee ID" attribute="1" defaultMemberUniqueName="[HR Salary].[Employee ID].[All]" allUniqueName="[HR Salary].[Employee ID].[All]" dimensionUniqueName="[HR Salary]" displayFolder="" count="2" memberValueDatatype="130" unbalanced="0" hidden="1"/>
    <cacheHierarchy uniqueName="[HR Salary].[Salary]" caption="Salary" attribute="1" defaultMemberUniqueName="[HR Salary].[Salary].[All]" allUniqueName="[HR Salary].[Salary].[All]" dimensionUniqueName="[HR Salary]" displayFolder="" count="2" memberValueDatatype="20" unbalanced="0" hidden="1"/>
    <cacheHierarchy uniqueName="[Measures].[Number Of Employees]" caption="Number Of Employees" measure="1" displayFolder="" measureGroup="HR Salary" count="0"/>
    <cacheHierarchy uniqueName="[Measures].[AVG_Age]" caption="AVG_Age" measure="1" displayFolder="" measureGroup="HR Salary" count="0"/>
    <cacheHierarchy uniqueName="[Measures].[AVG_EXP(Years)]" caption="AVG_EXP(Years)" measure="1" displayFolder="" measureGroup="HR Salary" count="0"/>
    <cacheHierarchy uniqueName="[Measures].[AVG_Salary]" caption="AVG_Salary" measure="1" displayFolder="" measureGroup="HR Salary" count="0" oneField="1">
      <fieldsUsage count="1">
        <fieldUsage x="1"/>
      </fieldsUsage>
    </cacheHierarchy>
    <cacheHierarchy uniqueName="[Measures].[Total Salary]" caption="Total Salary"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4"/>
        </ext>
      </extLst>
    </cacheHierarchy>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3.716274189814" backgroundQuery="1" createdVersion="8" refreshedVersion="8" minRefreshableVersion="3" recordCount="0" supportSubquery="1" supportAdvancedDrill="1" xr:uid="{3052AB13-9345-409B-9522-15638555C762}">
  <cacheSource type="external" connectionId="3"/>
  <cacheFields count="3">
    <cacheField name="[Measures].[AVG_Salary]" caption="AVG_Salary" numFmtId="0" hierarchy="15" level="32767"/>
    <cacheField name="[HR Salary].[Experience (Years)].[Experience (Years)]" caption="Experience (Years)" numFmtId="0" hierarchy="4" level="1">
      <sharedItems containsSemiMixedTypes="0" containsString="0" containsNumber="1" containsInteger="1" minValue="0" maxValue="37" count="36">
        <n v="0"/>
        <n v="1"/>
        <n v="2"/>
        <n v="3"/>
        <n v="4"/>
        <n v="5"/>
        <n v="6"/>
        <n v="7"/>
        <n v="8"/>
        <n v="9"/>
        <n v="10"/>
        <n v="11"/>
        <n v="12"/>
        <n v="13"/>
        <n v="14"/>
        <n v="15"/>
        <n v="16"/>
        <n v="17"/>
        <n v="18"/>
        <n v="19"/>
        <n v="20"/>
        <n v="21"/>
        <n v="22"/>
        <n v="23"/>
        <n v="24"/>
        <n v="25"/>
        <n v="26"/>
        <n v="27"/>
        <n v="28"/>
        <n v="29"/>
        <n v="30"/>
        <n v="31"/>
        <n v="32"/>
        <n v="33"/>
        <n v="34"/>
        <n v="37"/>
      </sharedItems>
      <extLst>
        <ext xmlns:x15="http://schemas.microsoft.com/office/spreadsheetml/2010/11/main" uri="{4F2E5C28-24EA-4eb8-9CBF-B6C8F9C3D259}">
          <x15:cachedUniqueNames>
            <x15:cachedUniqueName index="0" name="[HR Salary].[Experience (Years)].&amp;[0]"/>
            <x15:cachedUniqueName index="1" name="[HR Salary].[Experience (Years)].&amp;[1]"/>
            <x15:cachedUniqueName index="2" name="[HR Salary].[Experience (Years)].&amp;[2]"/>
            <x15:cachedUniqueName index="3" name="[HR Salary].[Experience (Years)].&amp;[3]"/>
            <x15:cachedUniqueName index="4" name="[HR Salary].[Experience (Years)].&amp;[4]"/>
            <x15:cachedUniqueName index="5" name="[HR Salary].[Experience (Years)].&amp;[5]"/>
            <x15:cachedUniqueName index="6" name="[HR Salary].[Experience (Years)].&amp;[6]"/>
            <x15:cachedUniqueName index="7" name="[HR Salary].[Experience (Years)].&amp;[7]"/>
            <x15:cachedUniqueName index="8" name="[HR Salary].[Experience (Years)].&amp;[8]"/>
            <x15:cachedUniqueName index="9" name="[HR Salary].[Experience (Years)].&amp;[9]"/>
            <x15:cachedUniqueName index="10" name="[HR Salary].[Experience (Years)].&amp;[10]"/>
            <x15:cachedUniqueName index="11" name="[HR Salary].[Experience (Years)].&amp;[11]"/>
            <x15:cachedUniqueName index="12" name="[HR Salary].[Experience (Years)].&amp;[12]"/>
            <x15:cachedUniqueName index="13" name="[HR Salary].[Experience (Years)].&amp;[13]"/>
            <x15:cachedUniqueName index="14" name="[HR Salary].[Experience (Years)].&amp;[14]"/>
            <x15:cachedUniqueName index="15" name="[HR Salary].[Experience (Years)].&amp;[15]"/>
            <x15:cachedUniqueName index="16" name="[HR Salary].[Experience (Years)].&amp;[16]"/>
            <x15:cachedUniqueName index="17" name="[HR Salary].[Experience (Years)].&amp;[17]"/>
            <x15:cachedUniqueName index="18" name="[HR Salary].[Experience (Years)].&amp;[18]"/>
            <x15:cachedUniqueName index="19" name="[HR Salary].[Experience (Years)].&amp;[19]"/>
            <x15:cachedUniqueName index="20" name="[HR Salary].[Experience (Years)].&amp;[20]"/>
            <x15:cachedUniqueName index="21" name="[HR Salary].[Experience (Years)].&amp;[21]"/>
            <x15:cachedUniqueName index="22" name="[HR Salary].[Experience (Years)].&amp;[22]"/>
            <x15:cachedUniqueName index="23" name="[HR Salary].[Experience (Years)].&amp;[23]"/>
            <x15:cachedUniqueName index="24" name="[HR Salary].[Experience (Years)].&amp;[24]"/>
            <x15:cachedUniqueName index="25" name="[HR Salary].[Experience (Years)].&amp;[25]"/>
            <x15:cachedUniqueName index="26" name="[HR Salary].[Experience (Years)].&amp;[26]"/>
            <x15:cachedUniqueName index="27" name="[HR Salary].[Experience (Years)].&amp;[27]"/>
            <x15:cachedUniqueName index="28" name="[HR Salary].[Experience (Years)].&amp;[28]"/>
            <x15:cachedUniqueName index="29" name="[HR Salary].[Experience (Years)].&amp;[29]"/>
            <x15:cachedUniqueName index="30" name="[HR Salary].[Experience (Years)].&amp;[30]"/>
            <x15:cachedUniqueName index="31" name="[HR Salary].[Experience (Years)].&amp;[31]"/>
            <x15:cachedUniqueName index="32" name="[HR Salary].[Experience (Years)].&amp;[32]"/>
            <x15:cachedUniqueName index="33" name="[HR Salary].[Experience (Years)].&amp;[33]"/>
            <x15:cachedUniqueName index="34" name="[HR Salary].[Experience (Years)].&amp;[34]"/>
            <x15:cachedUniqueName index="35" name="[HR Salary].[Experience (Years)].&amp;[37]"/>
          </x15:cachedUniqueNames>
        </ext>
      </extLst>
    </cacheField>
    <cacheField name="[HR Salary].[Department].[Department]" caption="Department" numFmtId="0" hierarchy="1" level="1">
      <sharedItems containsSemiMixedTypes="0" containsNonDate="0" containsString="0"/>
    </cacheField>
  </cacheFields>
  <cacheHierarchies count="23">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2"/>
      </fieldsUsage>
    </cacheHierarchy>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2" memberValueDatatype="20" unbalanced="0">
      <fieldsUsage count="2">
        <fieldUsage x="-1"/>
        <fieldUsage x="1"/>
      </fieldsUsage>
    </cacheHierarchy>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Number Of Employees]" caption="Number Of Employees" measure="1" displayFolder="" measureGroup="HR Salary" count="0"/>
    <cacheHierarchy uniqueName="[Measures].[AVG_Age]" caption="AVG_Age" measure="1" displayFolder="" measureGroup="HR Salary" count="0"/>
    <cacheHierarchy uniqueName="[Measures].[AVG_EXP(Years)]" caption="AVG_EXP(Years)" measure="1" displayFolder="" measureGroup="HR Salary" count="0"/>
    <cacheHierarchy uniqueName="[Measures].[AVG_Salary]" caption="AVG_Salary" measure="1" displayFolder="" measureGroup="HR Salary" count="0" oneField="1">
      <fieldsUsage count="1">
        <fieldUsage x="0"/>
      </fieldsUsage>
    </cacheHierarchy>
    <cacheHierarchy uniqueName="[Measures].[Total Salary]" caption="Total Salary"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4"/>
        </ext>
      </extLst>
    </cacheHierarchy>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3.680371527778" backgroundQuery="1" createdVersion="3" refreshedVersion="8" minRefreshableVersion="3" recordCount="0" supportSubquery="1" supportAdvancedDrill="1" xr:uid="{AB80052B-146E-4450-86A9-F5D9817A1BD5}">
  <cacheSource type="external" connectionId="3">
    <extLst>
      <ext xmlns:x14="http://schemas.microsoft.com/office/spreadsheetml/2009/9/main" uri="{F057638F-6D5F-4e77-A914-E7F072B9BCA8}">
        <x14:sourceConnection name="ThisWorkbookDataModel"/>
      </ext>
    </extLst>
  </cacheSource>
  <cacheFields count="0"/>
  <cacheHierarchies count="23">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Number Of Employees]" caption="Number Of Employees" measure="1" displayFolder="" measureGroup="HR Salary" count="0"/>
    <cacheHierarchy uniqueName="[Measures].[AVG_Age]" caption="AVG_Age" measure="1" displayFolder="" measureGroup="HR Salary" count="0"/>
    <cacheHierarchy uniqueName="[Measures].[AVG_EXP(Years)]" caption="AVG_EXP(Years)" measure="1" displayFolder="" measureGroup="HR Salary" count="0"/>
    <cacheHierarchy uniqueName="[Measures].[AVG_Salary]" caption="AVG_Salary" measure="1" displayFolder="" measureGroup="HR Salary" count="0"/>
    <cacheHierarchy uniqueName="[Measures].[Total Salary]" caption="Total Salary"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261310970"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ale" refreshedDate="46303.69980347222" backgroundQuery="1" createdVersion="3" refreshedVersion="8" minRefreshableVersion="3" recordCount="0" supportSubquery="1" supportAdvancedDrill="1" xr:uid="{5DDD2346-C071-4362-9A05-E9D8031D5B6A}">
  <cacheSource type="external" connectionId="3">
    <extLst>
      <ext xmlns:x14="http://schemas.microsoft.com/office/spreadsheetml/2009/9/main" uri="{F057638F-6D5F-4e77-A914-E7F072B9BCA8}">
        <x14:sourceConnection name="ThisWorkbookDataModel"/>
      </ext>
    </extLst>
  </cacheSource>
  <cacheFields count="0"/>
  <cacheHierarchies count="23">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0" memberValueDatatype="130" unbalanced="0"/>
    <cacheHierarchy uniqueName="[HR Salary].[Job Title]" caption="Job Title" attribute="1" defaultMemberUniqueName="[HR Salary].[Job Title].[All]" allUniqueName="[HR Salary].[Job Title].[All]" dimensionUniqueName="[HR Salary]" displayFolder="" count="0"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HR Salary].[Age]" caption="Age" attribute="1" defaultMemberUniqueName="[HR Salary].[Age].[All]" allUniqueName="[HR Salary].[Age].[All]" dimensionUniqueName="[HR Salary]" displayFolder="" count="0" memberValueDatatype="20" unbalanced="0" hidden="1"/>
    <cacheHierarchy uniqueName="[HR Salary].[Employee ID]" caption="Employee ID" attribute="1" defaultMemberUniqueName="[HR Salary].[Employee ID].[All]" allUniqueName="[HR Salary].[Employee ID].[All]" dimensionUniqueName="[HR Salary]" displayFolder="" count="0" memberValueDatatype="130" unbalanced="0" hidden="1"/>
    <cacheHierarchy uniqueName="[HR Salary].[Salary]" caption="Salary" attribute="1" defaultMemberUniqueName="[HR Salary].[Salary].[All]" allUniqueName="[HR Salary].[Salary].[All]" dimensionUniqueName="[HR Salary]" displayFolder="" count="0" memberValueDatatype="20" unbalanced="0" hidden="1"/>
    <cacheHierarchy uniqueName="[Measures].[Number Of Employees]" caption="Number Of Employees" measure="1" displayFolder="" measureGroup="HR Salary" count="0"/>
    <cacheHierarchy uniqueName="[Measures].[AVG_Age]" caption="AVG_Age" measure="1" displayFolder="" measureGroup="HR Salary" count="0"/>
    <cacheHierarchy uniqueName="[Measures].[AVG_EXP(Years)]" caption="AVG_EXP(Years)" measure="1" displayFolder="" measureGroup="HR Salary" count="0"/>
    <cacheHierarchy uniqueName="[Measures].[AVG_Salary]" caption="AVG_Salary" measure="1" displayFolder="" measureGroup="HR Salary" count="0"/>
    <cacheHierarchy uniqueName="[Measures].[Total Salary]" caption="Total Salary"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y uniqueName="[Measures].[Sum of Experience (Years)]" caption="Sum of Experience (Years)" measure="1" displayFolder="" measureGroup="HR Salary"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5245271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6DD906-CE18-4AF2-AD2F-98E248CE3497}" name="PivotTable9" cacheId="819" applyNumberFormats="0" applyBorderFormats="0" applyFontFormats="0" applyPatternFormats="0" applyAlignmentFormats="0" applyWidthHeightFormats="1" dataCaption="Values" tag="8d694dbc-0052-4f08-a6c2-df4f40d6883c" updatedVersion="8" minRefreshableVersion="3" useAutoFormatting="1" itemPrintTitles="1" createdVersion="8" indent="0" outline="1" outlineData="1" multipleFieldFilters="0" chartFormat="14">
  <location ref="L24:M61" firstHeaderRow="1" firstDataRow="1" firstDataCol="1"/>
  <pivotFields count="3">
    <pivotField dataField="1" subtotalTop="0" showAll="0" defaultSubtotal="0"/>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llDrilled="1" subtotalTop="0" showAll="0" dataSourceSort="1" defaultSubtotal="0" defaultAttributeDrillState="1"/>
  </pivotFields>
  <rowFields count="1">
    <field x="1"/>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fld="0" subtotal="count" baseField="0" baseItem="0"/>
  </dataFields>
  <chartFormats count="1">
    <chartFormat chart="13" format="4"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079B75-7D82-4879-9CA6-C4E93D030524}" name="PivotTable8" cacheId="816" applyNumberFormats="0" applyBorderFormats="0" applyFontFormats="0" applyPatternFormats="0" applyAlignmentFormats="0" applyWidthHeightFormats="1" dataCaption="Values" tag="94b61713-9113-4dfb-a239-91350924d56d" updatedVersion="8" minRefreshableVersion="3" useAutoFormatting="1" itemPrintTitles="1" createdVersion="8" indent="0" outline="1" outlineData="1" multipleFieldFilters="0">
  <location ref="L16:M2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pivotHierarchies count="2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 Clas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A21F4A-696B-45C8-8565-B95D5CD1B4E5}" name="PivotTable7" cacheId="813" applyNumberFormats="0" applyBorderFormats="0" applyFontFormats="0" applyPatternFormats="0" applyAlignmentFormats="0" applyWidthHeightFormats="1" dataCaption="Values" tag="72d437ed-9d01-4986-8df6-514138f84ef5" updatedVersion="8" minRefreshableVersion="3" useAutoFormatting="1" itemPrintTitles="1" createdVersion="8" indent="0" outline="1" outlineData="1" multipleFieldFilters="0" chartFormat="7">
  <location ref="L7:M1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F913FA-6C7C-4706-A296-678CD281AB34}" name="PivotTable6" cacheId="810" applyNumberFormats="0" applyBorderFormats="0" applyFontFormats="0" applyPatternFormats="0" applyAlignmentFormats="0" applyWidthHeightFormats="1" dataCaption="Values" tag="35f2c776-33cb-45ea-b337-56c776972272" updatedVersion="8" minRefreshableVersion="3" useAutoFormatting="1" itemPrintTitles="1" createdVersion="8" indent="0" outline="1" outlineData="1" multipleFieldFilters="0" chartFormat="7">
  <location ref="I18:J26"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3"/>
    </i>
    <i>
      <x v="5"/>
    </i>
    <i>
      <x v="1"/>
    </i>
    <i>
      <x v="6"/>
    </i>
    <i>
      <x/>
    </i>
    <i>
      <x v="2"/>
    </i>
    <i>
      <x v="4"/>
    </i>
    <i t="grand">
      <x/>
    </i>
  </rowItems>
  <colItems count="1">
    <i/>
  </colItems>
  <dataFields count="1">
    <dataField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034E57-61B6-4F9C-995D-4455CF8A162E}" name="PivotTable5" cacheId="807" applyNumberFormats="0" applyBorderFormats="0" applyFontFormats="0" applyPatternFormats="0" applyAlignmentFormats="0" applyWidthHeightFormats="1" dataCaption="Values" tag="2eb7ccec-5169-4fa7-82cc-fdbff8fd1013" updatedVersion="8" minRefreshableVersion="3" useAutoFormatting="1" itemPrintTitles="1" createdVersion="8" indent="0" outline="1" outlineData="1" multipleFieldFilters="0" chartFormat="7">
  <location ref="I12:J1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showDataAs="percentOfTotal" baseField="0" baseItem="0" numFmtId="1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28BC64-70A7-461D-BDAF-D21227F258A0}" name="PivotTable4" cacheId="804" applyNumberFormats="0" applyBorderFormats="0" applyFontFormats="0" applyPatternFormats="0" applyAlignmentFormats="0" applyWidthHeightFormats="1" dataCaption="Values" tag="70813bd6-816b-4af7-bfa7-451a0b9c5849" updatedVersion="8" minRefreshableVersion="3" useAutoFormatting="1" itemPrintTitles="1" createdVersion="8" indent="0" outline="1" outlineData="1" multipleFieldFilters="0" chartFormat="7">
  <location ref="I7:J1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showDataAs="percentOfTotal" baseField="0" baseItem="0" numFmtId="1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00F2F6-485B-429F-8049-01697DEBD2F8}" name="PivotTable3" cacheId="801" applyNumberFormats="0" applyBorderFormats="0" applyFontFormats="0" applyPatternFormats="0" applyAlignmentFormats="0" applyWidthHeightFormats="1" dataCaption="Values" tag="c8951c40-708c-4d0a-9190-bce5bfaccdb1" updatedVersion="8" minRefreshableVersion="3" useAutoFormatting="1" subtotalHiddenItems="1" itemPrintTitles="1" createdVersion="8" indent="0" outline="1" outlineData="1" multipleFieldFilters="0" chartFormat="7">
  <location ref="F7:G29" firstHeaderRow="1" firstDataRow="1" firstDataCol="1"/>
  <pivotFields count="3">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2">
    <i>
      <x v="20"/>
    </i>
    <i>
      <x v="13"/>
    </i>
    <i>
      <x v="2"/>
    </i>
    <i>
      <x v="19"/>
    </i>
    <i>
      <x v="7"/>
    </i>
    <i>
      <x v="15"/>
    </i>
    <i>
      <x v="4"/>
    </i>
    <i>
      <x v="16"/>
    </i>
    <i>
      <x v="8"/>
    </i>
    <i>
      <x v="12"/>
    </i>
    <i>
      <x v="18"/>
    </i>
    <i>
      <x v="10"/>
    </i>
    <i>
      <x v="1"/>
    </i>
    <i>
      <x v="3"/>
    </i>
    <i>
      <x/>
    </i>
    <i>
      <x v="11"/>
    </i>
    <i>
      <x v="14"/>
    </i>
    <i>
      <x v="17"/>
    </i>
    <i>
      <x v="6"/>
    </i>
    <i>
      <x v="5"/>
    </i>
    <i>
      <x v="9"/>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910947-20C8-4635-99C5-DBF1808E66E6}" name="PivotTable2" cacheId="795" applyNumberFormats="0" applyBorderFormats="0" applyFontFormats="0" applyPatternFormats="0" applyAlignmentFormats="0" applyWidthHeightFormats="1" dataCaption="Values" tag="682d7e4a-0e2e-4bd7-b841-9fbe8d7fa09e" updatedVersion="8" minRefreshableVersion="3" useAutoFormatting="1" subtotalHiddenItems="1" itemPrintTitles="1" createdVersion="8" indent="0" outline="1" outlineData="1" multipleFieldFilters="0" chartFormat="7">
  <location ref="C7:D15" firstHeaderRow="1" firstDataRow="1" firstDataCol="1"/>
  <pivotFields count="2">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1"/>
  </rowFields>
  <rowItems count="8">
    <i>
      <x v="2"/>
    </i>
    <i>
      <x v="5"/>
    </i>
    <i>
      <x/>
    </i>
    <i>
      <x v="4"/>
    </i>
    <i>
      <x v="6"/>
    </i>
    <i>
      <x v="3"/>
    </i>
    <i>
      <x v="1"/>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5CDB51-8F88-402E-96AE-E03C9C867394}" name="PivotTable1" cacheId="798" applyNumberFormats="0" applyBorderFormats="0" applyFontFormats="0" applyPatternFormats="0" applyAlignmentFormats="0" applyWidthHeightFormats="1" dataCaption="Values" tag="a243fa33-860c-4bb8-8e15-c22d461e50eb" updatedVersion="8" minRefreshableVersion="3" useAutoFormatting="1" itemPrintTitles="1" createdVersion="8" indent="0" outline="1" outlineData="1" multipleFieldFilters="0">
  <location ref="C4:E5"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2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460FD31-195C-4376-91E3-E1E86C7384EE}" sourceName="[HR Salary].[Department]">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s>
  <data>
    <olap pivotCacheId="261310970">
      <levels count="2">
        <level uniqueName="[HR Salary].[Department].[(All)]" sourceCaption="(All)" count="0"/>
        <level uniqueName="[HR Salary].[Department].[Department]" sourceCaption="Department" count="7">
          <ranges>
            <range startItem="0">
              <i n="[HR Salary].[Department].&amp;[Finance]" c="Finance"/>
              <i n="[HR Salary].[Department].&amp;[HR]" c="HR"/>
              <i n="[HR Salary].[Department].&amp;[IT]" c="IT"/>
              <i n="[HR Salary].[Department].&amp;[Marketing]" c="Marketing"/>
              <i n="[HR Salary].[Department].&amp;[Operations]" c="Operations"/>
              <i n="[HR Salary].[Department].&amp;[R&amp;D]" c="R&amp;D"/>
              <i n="[HR Salary].[Department].&amp;[Sales]" c="Sales"/>
            </range>
          </ranges>
        </level>
      </levels>
      <selections count="1">
        <selection n="[HR Salary].[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843B5234-34C4-44D6-9968-C1BE13E1C8C0}" sourceName="[Job Class].[Job Level]">
  <pivotTables>
    <pivotTable tabId="1" name="PivotTable8"/>
    <pivotTable tabId="1" name="PivotTable1"/>
    <pivotTable tabId="1" name="PivotTable2"/>
    <pivotTable tabId="1" name="PivotTable3"/>
    <pivotTable tabId="1" name="PivotTable4"/>
    <pivotTable tabId="1" name="PivotTable5"/>
    <pivotTable tabId="1" name="PivotTable6"/>
    <pivotTable tabId="1" name="PivotTable7"/>
    <pivotTable tabId="1" name="PivotTable9"/>
  </pivotTables>
  <data>
    <olap pivotCacheId="524527160">
      <levels count="2">
        <level uniqueName="[Job Class].[Job Level].[(All)]" sourceCaption="(All)" count="0"/>
        <level uniqueName="[Job Class].[Job Level].[Job Level]" sourceCaption="Job Level" count="3">
          <ranges>
            <range startItem="0">
              <i n="[Job Class].[Job Level].&amp;[Entry Level]" c="Entry Level"/>
              <i n="[Job Class].[Job Level].&amp;[Manager]" c="Manager"/>
              <i n="[Job Class].[Job Level].&amp;[Mid Level]" c="Mid Level"/>
            </range>
          </ranges>
        </level>
      </levels>
      <selections count="1">
        <selection n="[Job Class].[Job 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6D5FBF0-6073-4DF4-8960-73307301AD43}" cache="Slicer_Department" columnCount="3" level="1" style="SlicerStyleDark1" rowHeight="274320"/>
  <slicer name="Job Level" xr10:uid="{812D8964-EAC3-4427-A54B-8D55FB80E0AB}" cache="Slicer_Job_Level" level="1" style="SlicerStyleDark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F2CFF-7A9F-4EEA-BF1C-ABB5D1EADDA5}">
  <dimension ref="C4:M61"/>
  <sheetViews>
    <sheetView showGridLines="0" workbookViewId="0"/>
  </sheetViews>
  <sheetFormatPr defaultRowHeight="15" x14ac:dyDescent="0.25"/>
  <cols>
    <col min="3" max="3" width="11.28515625" bestFit="1" customWidth="1"/>
    <col min="4" max="4" width="12.85546875" bestFit="1" customWidth="1"/>
    <col min="5" max="5" width="9.7109375" bestFit="1" customWidth="1"/>
    <col min="6" max="6" width="20" bestFit="1" customWidth="1"/>
    <col min="7" max="7" width="11" bestFit="1" customWidth="1"/>
    <col min="9" max="9" width="12.28515625" bestFit="1" customWidth="1"/>
    <col min="10" max="10" width="21.7109375" bestFit="1" customWidth="1"/>
    <col min="12" max="12" width="13.42578125" bestFit="1" customWidth="1"/>
    <col min="13" max="14" width="11" bestFit="1" customWidth="1"/>
  </cols>
  <sheetData>
    <row r="4" spans="3:13" x14ac:dyDescent="0.25">
      <c r="C4" t="s">
        <v>0</v>
      </c>
      <c r="D4" t="s">
        <v>1</v>
      </c>
      <c r="E4" t="s">
        <v>2</v>
      </c>
    </row>
    <row r="5" spans="3:13" x14ac:dyDescent="0.25">
      <c r="C5" s="1">
        <v>4962657</v>
      </c>
      <c r="D5" s="2">
        <v>7</v>
      </c>
      <c r="E5" s="2">
        <v>7</v>
      </c>
    </row>
    <row r="6" spans="3:13" x14ac:dyDescent="0.25">
      <c r="F6" s="6" t="s">
        <v>50</v>
      </c>
      <c r="G6" s="6"/>
    </row>
    <row r="7" spans="3:13" x14ac:dyDescent="0.25">
      <c r="C7" s="3" t="s">
        <v>4</v>
      </c>
      <c r="D7" t="s">
        <v>3</v>
      </c>
      <c r="F7" s="3" t="s">
        <v>4</v>
      </c>
      <c r="G7" t="s">
        <v>3</v>
      </c>
      <c r="I7" s="3" t="s">
        <v>4</v>
      </c>
      <c r="J7" t="s">
        <v>0</v>
      </c>
      <c r="L7" s="3" t="s">
        <v>4</v>
      </c>
      <c r="M7" t="s">
        <v>3</v>
      </c>
    </row>
    <row r="8" spans="3:13" x14ac:dyDescent="0.25">
      <c r="C8" s="4" t="s">
        <v>7</v>
      </c>
      <c r="D8" s="1">
        <v>12152.5</v>
      </c>
      <c r="F8" s="4" t="s">
        <v>33</v>
      </c>
      <c r="G8" s="1">
        <v>12670.304347826086</v>
      </c>
      <c r="I8" s="4" t="s">
        <v>34</v>
      </c>
      <c r="J8" s="5">
        <v>0.52770179361579894</v>
      </c>
      <c r="L8" s="4" t="s">
        <v>43</v>
      </c>
      <c r="M8" s="1">
        <v>9816.6832061068708</v>
      </c>
    </row>
    <row r="9" spans="3:13" x14ac:dyDescent="0.25">
      <c r="C9" s="4" t="s">
        <v>10</v>
      </c>
      <c r="D9" s="1">
        <v>11623.743243243243</v>
      </c>
      <c r="F9" s="4" t="s">
        <v>26</v>
      </c>
      <c r="G9" s="1">
        <v>12414.541666666666</v>
      </c>
      <c r="I9" s="4" t="s">
        <v>35</v>
      </c>
      <c r="J9" s="5">
        <v>0.47229820638420106</v>
      </c>
      <c r="L9" s="4" t="s">
        <v>44</v>
      </c>
      <c r="M9" s="1">
        <v>9952.0666666666675</v>
      </c>
    </row>
    <row r="10" spans="3:13" x14ac:dyDescent="0.25">
      <c r="C10" s="4" t="s">
        <v>5</v>
      </c>
      <c r="D10" s="1">
        <v>9484.5245901639337</v>
      </c>
      <c r="F10" s="4" t="s">
        <v>15</v>
      </c>
      <c r="G10" s="1">
        <v>12049.6</v>
      </c>
      <c r="I10" s="4" t="s">
        <v>12</v>
      </c>
      <c r="J10" s="5">
        <v>1</v>
      </c>
      <c r="L10" s="4" t="s">
        <v>45</v>
      </c>
      <c r="M10" s="1">
        <v>10197.954128440368</v>
      </c>
    </row>
    <row r="11" spans="3:13" x14ac:dyDescent="0.25">
      <c r="C11" s="4" t="s">
        <v>9</v>
      </c>
      <c r="D11" s="1">
        <v>9319.7285714285717</v>
      </c>
      <c r="F11" s="4" t="s">
        <v>32</v>
      </c>
      <c r="G11" s="1">
        <v>11956.181818181818</v>
      </c>
      <c r="L11" s="4" t="s">
        <v>46</v>
      </c>
      <c r="M11" s="1">
        <v>9755.9166666666661</v>
      </c>
    </row>
    <row r="12" spans="3:13" x14ac:dyDescent="0.25">
      <c r="C12" s="4" t="s">
        <v>11</v>
      </c>
      <c r="D12" s="1">
        <v>9154.7792207792209</v>
      </c>
      <c r="F12" s="4" t="s">
        <v>20</v>
      </c>
      <c r="G12" s="1">
        <v>11926.208333333334</v>
      </c>
      <c r="I12" s="3" t="s">
        <v>4</v>
      </c>
      <c r="J12" t="s">
        <v>52</v>
      </c>
      <c r="L12" s="4" t="s">
        <v>12</v>
      </c>
      <c r="M12" s="1">
        <v>9925.3140000000003</v>
      </c>
    </row>
    <row r="13" spans="3:13" x14ac:dyDescent="0.25">
      <c r="C13" s="4" t="s">
        <v>8</v>
      </c>
      <c r="D13" s="1">
        <v>8973.9125000000004</v>
      </c>
      <c r="F13" s="4" t="s">
        <v>28</v>
      </c>
      <c r="G13" s="1">
        <v>10707.2</v>
      </c>
      <c r="I13" s="4" t="s">
        <v>34</v>
      </c>
      <c r="J13" s="5">
        <v>0.52200000000000002</v>
      </c>
    </row>
    <row r="14" spans="3:13" x14ac:dyDescent="0.25">
      <c r="C14" s="4" t="s">
        <v>6</v>
      </c>
      <c r="D14" s="1">
        <v>8216.0689655172409</v>
      </c>
      <c r="F14" s="4" t="s">
        <v>17</v>
      </c>
      <c r="G14" s="1">
        <v>10236.5</v>
      </c>
      <c r="I14" s="4" t="s">
        <v>35</v>
      </c>
      <c r="J14" s="5">
        <v>0.47799999999999998</v>
      </c>
    </row>
    <row r="15" spans="3:13" x14ac:dyDescent="0.25">
      <c r="C15" s="4" t="s">
        <v>12</v>
      </c>
      <c r="D15" s="1">
        <v>9925.3140000000003</v>
      </c>
      <c r="F15" s="4" t="s">
        <v>29</v>
      </c>
      <c r="G15" s="1">
        <v>10007.846153846154</v>
      </c>
      <c r="I15" s="4" t="s">
        <v>12</v>
      </c>
      <c r="J15" s="5">
        <v>1</v>
      </c>
    </row>
    <row r="16" spans="3:13" x14ac:dyDescent="0.25">
      <c r="F16" s="4" t="s">
        <v>21</v>
      </c>
      <c r="G16" s="1">
        <v>9542.3214285714294</v>
      </c>
      <c r="L16" s="3" t="s">
        <v>4</v>
      </c>
      <c r="M16" t="s">
        <v>3</v>
      </c>
    </row>
    <row r="17" spans="6:13" x14ac:dyDescent="0.25">
      <c r="F17" s="4" t="s">
        <v>25</v>
      </c>
      <c r="G17" s="1">
        <v>9471.173913043478</v>
      </c>
      <c r="L17" s="4" t="s">
        <v>47</v>
      </c>
      <c r="M17" s="1">
        <v>8660.0375000000004</v>
      </c>
    </row>
    <row r="18" spans="6:13" x14ac:dyDescent="0.25">
      <c r="F18" s="4" t="s">
        <v>31</v>
      </c>
      <c r="G18" s="1">
        <v>9416.96875</v>
      </c>
      <c r="I18" s="3" t="s">
        <v>4</v>
      </c>
      <c r="J18" t="s">
        <v>3</v>
      </c>
      <c r="L18" s="4" t="s">
        <v>48</v>
      </c>
      <c r="M18" s="1">
        <v>9749.3989898989894</v>
      </c>
    </row>
    <row r="19" spans="6:13" x14ac:dyDescent="0.25">
      <c r="F19" s="4" t="s">
        <v>23</v>
      </c>
      <c r="G19" s="1">
        <v>9350.4838709677424</v>
      </c>
      <c r="I19" s="4" t="s">
        <v>39</v>
      </c>
      <c r="J19" s="1">
        <v>10570.546875</v>
      </c>
      <c r="L19" s="4" t="s">
        <v>49</v>
      </c>
      <c r="M19" s="1">
        <v>10538.166666666666</v>
      </c>
    </row>
    <row r="20" spans="6:13" x14ac:dyDescent="0.25">
      <c r="F20" s="4" t="s">
        <v>14</v>
      </c>
      <c r="G20" s="1">
        <v>9341.5789473684217</v>
      </c>
      <c r="I20" s="4" t="s">
        <v>41</v>
      </c>
      <c r="J20" s="1">
        <v>10275.313432835821</v>
      </c>
      <c r="L20" s="4" t="s">
        <v>12</v>
      </c>
      <c r="M20" s="1">
        <v>9925.3140000000003</v>
      </c>
    </row>
    <row r="21" spans="6:13" x14ac:dyDescent="0.25">
      <c r="F21" s="4" t="s">
        <v>16</v>
      </c>
      <c r="G21" s="1">
        <v>9126.2307692307695</v>
      </c>
      <c r="I21" s="4" t="s">
        <v>37</v>
      </c>
      <c r="J21" s="1">
        <v>9926.818181818182</v>
      </c>
    </row>
    <row r="22" spans="6:13" x14ac:dyDescent="0.25">
      <c r="F22" s="4" t="s">
        <v>13</v>
      </c>
      <c r="G22" s="1">
        <v>8907.5161290322576</v>
      </c>
      <c r="I22" s="4" t="s">
        <v>42</v>
      </c>
      <c r="J22" s="1">
        <v>9805.9324324324316</v>
      </c>
    </row>
    <row r="23" spans="6:13" x14ac:dyDescent="0.25">
      <c r="F23" s="4" t="s">
        <v>24</v>
      </c>
      <c r="G23" s="1">
        <v>8808.3684210526317</v>
      </c>
      <c r="I23" s="4" t="s">
        <v>36</v>
      </c>
      <c r="J23" s="1">
        <v>9730.8533333333326</v>
      </c>
    </row>
    <row r="24" spans="6:13" x14ac:dyDescent="0.25">
      <c r="F24" s="4" t="s">
        <v>27</v>
      </c>
      <c r="G24" s="1">
        <v>8642.4761904761908</v>
      </c>
      <c r="I24" s="4" t="s">
        <v>38</v>
      </c>
      <c r="J24" s="1">
        <v>9648.4696969696961</v>
      </c>
      <c r="L24" s="3" t="s">
        <v>4</v>
      </c>
      <c r="M24" t="s">
        <v>3</v>
      </c>
    </row>
    <row r="25" spans="6:13" x14ac:dyDescent="0.25">
      <c r="F25" s="4" t="s">
        <v>30</v>
      </c>
      <c r="G25" s="1">
        <v>8429.0499999999993</v>
      </c>
      <c r="I25" s="4" t="s">
        <v>40</v>
      </c>
      <c r="J25" s="1">
        <v>9624.4025974025972</v>
      </c>
      <c r="L25" s="4">
        <v>0</v>
      </c>
      <c r="M25" s="1">
        <v>5808.0344827586205</v>
      </c>
    </row>
    <row r="26" spans="6:13" x14ac:dyDescent="0.25">
      <c r="F26" s="4" t="s">
        <v>19</v>
      </c>
      <c r="G26" s="1">
        <v>8237.105263157895</v>
      </c>
      <c r="I26" s="4" t="s">
        <v>12</v>
      </c>
      <c r="J26" s="1">
        <v>9925.3140000000003</v>
      </c>
      <c r="L26" s="4">
        <v>1</v>
      </c>
      <c r="M26" s="1">
        <v>6348.478260869565</v>
      </c>
    </row>
    <row r="27" spans="6:13" x14ac:dyDescent="0.25">
      <c r="F27" s="4" t="s">
        <v>18</v>
      </c>
      <c r="G27" s="1">
        <v>7696.3888888888887</v>
      </c>
      <c r="L27" s="4">
        <v>2</v>
      </c>
      <c r="M27" s="1">
        <v>6528.25</v>
      </c>
    </row>
    <row r="28" spans="6:13" x14ac:dyDescent="0.25">
      <c r="F28" s="4" t="s">
        <v>22</v>
      </c>
      <c r="G28" s="1">
        <v>7453.2352941176468</v>
      </c>
      <c r="L28" s="4">
        <v>3</v>
      </c>
      <c r="M28" s="1">
        <v>7416.2941176470586</v>
      </c>
    </row>
    <row r="29" spans="6:13" x14ac:dyDescent="0.25">
      <c r="F29" s="4" t="s">
        <v>12</v>
      </c>
      <c r="G29" s="1">
        <v>9925.3140000000003</v>
      </c>
      <c r="L29" s="4">
        <v>4</v>
      </c>
      <c r="M29" s="1">
        <v>7836.08</v>
      </c>
    </row>
    <row r="30" spans="6:13" x14ac:dyDescent="0.25">
      <c r="L30" s="4">
        <v>5</v>
      </c>
      <c r="M30" s="1">
        <v>8115.4285714285716</v>
      </c>
    </row>
    <row r="31" spans="6:13" x14ac:dyDescent="0.25">
      <c r="L31" s="4">
        <v>6</v>
      </c>
      <c r="M31" s="1">
        <v>7882.333333333333</v>
      </c>
    </row>
    <row r="32" spans="6:13" x14ac:dyDescent="0.25">
      <c r="L32" s="4">
        <v>7</v>
      </c>
      <c r="M32" s="1">
        <v>8836.2000000000007</v>
      </c>
    </row>
    <row r="33" spans="12:13" x14ac:dyDescent="0.25">
      <c r="L33" s="4">
        <v>8</v>
      </c>
      <c r="M33" s="1">
        <v>8817.0769230769238</v>
      </c>
    </row>
    <row r="34" spans="12:13" x14ac:dyDescent="0.25">
      <c r="L34" s="4">
        <v>9</v>
      </c>
      <c r="M34" s="1">
        <v>9717.181818181818</v>
      </c>
    </row>
    <row r="35" spans="12:13" x14ac:dyDescent="0.25">
      <c r="L35" s="4">
        <v>10</v>
      </c>
      <c r="M35" s="1">
        <v>9713.454545454546</v>
      </c>
    </row>
    <row r="36" spans="12:13" x14ac:dyDescent="0.25">
      <c r="L36" s="4">
        <v>11</v>
      </c>
      <c r="M36" s="1">
        <v>10172.611111111111</v>
      </c>
    </row>
    <row r="37" spans="12:13" x14ac:dyDescent="0.25">
      <c r="L37" s="4">
        <v>12</v>
      </c>
      <c r="M37" s="1">
        <v>10604.45</v>
      </c>
    </row>
    <row r="38" spans="12:13" x14ac:dyDescent="0.25">
      <c r="L38" s="4">
        <v>13</v>
      </c>
      <c r="M38" s="1">
        <v>10677.666666666666</v>
      </c>
    </row>
    <row r="39" spans="12:13" x14ac:dyDescent="0.25">
      <c r="L39" s="4">
        <v>14</v>
      </c>
      <c r="M39" s="1">
        <v>10835.3125</v>
      </c>
    </row>
    <row r="40" spans="12:13" x14ac:dyDescent="0.25">
      <c r="L40" s="4">
        <v>15</v>
      </c>
      <c r="M40" s="1">
        <v>11643.533333333333</v>
      </c>
    </row>
    <row r="41" spans="12:13" x14ac:dyDescent="0.25">
      <c r="L41" s="4">
        <v>16</v>
      </c>
      <c r="M41" s="1">
        <v>12042.173913043478</v>
      </c>
    </row>
    <row r="42" spans="12:13" x14ac:dyDescent="0.25">
      <c r="L42" s="4">
        <v>17</v>
      </c>
      <c r="M42" s="1">
        <v>11601.5625</v>
      </c>
    </row>
    <row r="43" spans="12:13" x14ac:dyDescent="0.25">
      <c r="L43" s="4">
        <v>18</v>
      </c>
      <c r="M43" s="1">
        <v>12015.272727272728</v>
      </c>
    </row>
    <row r="44" spans="12:13" x14ac:dyDescent="0.25">
      <c r="L44" s="4">
        <v>19</v>
      </c>
      <c r="M44" s="1">
        <v>13130.5</v>
      </c>
    </row>
    <row r="45" spans="12:13" x14ac:dyDescent="0.25">
      <c r="L45" s="4">
        <v>20</v>
      </c>
      <c r="M45" s="1">
        <v>12214.285714285714</v>
      </c>
    </row>
    <row r="46" spans="12:13" x14ac:dyDescent="0.25">
      <c r="L46" s="4">
        <v>21</v>
      </c>
      <c r="M46" s="1">
        <v>13862.9</v>
      </c>
    </row>
    <row r="47" spans="12:13" x14ac:dyDescent="0.25">
      <c r="L47" s="4">
        <v>22</v>
      </c>
      <c r="M47" s="1">
        <v>13721.3</v>
      </c>
    </row>
    <row r="48" spans="12:13" x14ac:dyDescent="0.25">
      <c r="L48" s="4">
        <v>23</v>
      </c>
      <c r="M48" s="1">
        <v>13648</v>
      </c>
    </row>
    <row r="49" spans="12:13" x14ac:dyDescent="0.25">
      <c r="L49" s="4">
        <v>24</v>
      </c>
      <c r="M49" s="1">
        <v>14713</v>
      </c>
    </row>
    <row r="50" spans="12:13" x14ac:dyDescent="0.25">
      <c r="L50" s="4">
        <v>25</v>
      </c>
      <c r="M50" s="1">
        <v>16005.166666666666</v>
      </c>
    </row>
    <row r="51" spans="12:13" x14ac:dyDescent="0.25">
      <c r="L51" s="4">
        <v>26</v>
      </c>
      <c r="M51" s="1">
        <v>16182.375</v>
      </c>
    </row>
    <row r="52" spans="12:13" x14ac:dyDescent="0.25">
      <c r="L52" s="4">
        <v>27</v>
      </c>
      <c r="M52" s="1">
        <v>15153.75</v>
      </c>
    </row>
    <row r="53" spans="12:13" x14ac:dyDescent="0.25">
      <c r="L53" s="4">
        <v>28</v>
      </c>
      <c r="M53" s="1">
        <v>17912.5</v>
      </c>
    </row>
    <row r="54" spans="12:13" x14ac:dyDescent="0.25">
      <c r="L54" s="4">
        <v>29</v>
      </c>
      <c r="M54" s="1">
        <v>14154.333333333334</v>
      </c>
    </row>
    <row r="55" spans="12:13" x14ac:dyDescent="0.25">
      <c r="L55" s="4">
        <v>30</v>
      </c>
      <c r="M55" s="1">
        <v>16074.333333333334</v>
      </c>
    </row>
    <row r="56" spans="12:13" x14ac:dyDescent="0.25">
      <c r="L56" s="4">
        <v>31</v>
      </c>
      <c r="M56" s="1">
        <v>17084</v>
      </c>
    </row>
    <row r="57" spans="12:13" x14ac:dyDescent="0.25">
      <c r="L57" s="4">
        <v>32</v>
      </c>
      <c r="M57" s="1">
        <v>19552</v>
      </c>
    </row>
    <row r="58" spans="12:13" x14ac:dyDescent="0.25">
      <c r="L58" s="4">
        <v>33</v>
      </c>
      <c r="M58" s="1">
        <v>13250.5</v>
      </c>
    </row>
    <row r="59" spans="12:13" x14ac:dyDescent="0.25">
      <c r="L59" s="4">
        <v>34</v>
      </c>
      <c r="M59" s="1">
        <v>20543</v>
      </c>
    </row>
    <row r="60" spans="12:13" x14ac:dyDescent="0.25">
      <c r="L60" s="4">
        <v>37</v>
      </c>
      <c r="M60" s="1">
        <v>16899</v>
      </c>
    </row>
    <row r="61" spans="12:13" x14ac:dyDescent="0.25">
      <c r="L61" s="4" t="s">
        <v>12</v>
      </c>
      <c r="M61" s="1">
        <v>9925.3140000000003</v>
      </c>
    </row>
  </sheetData>
  <mergeCells count="1">
    <mergeCell ref="F6:G6"/>
  </mergeCells>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B6A72-CEE9-4594-B8C2-BE496530AB55}">
  <dimension ref="B1:U4"/>
  <sheetViews>
    <sheetView showGridLines="0" tabSelected="1" zoomScale="90" zoomScaleNormal="90" workbookViewId="0">
      <selection activeCell="N7" sqref="N7"/>
    </sheetView>
  </sheetViews>
  <sheetFormatPr defaultRowHeight="15" x14ac:dyDescent="0.25"/>
  <sheetData>
    <row r="1" spans="2:21" ht="67.5" customHeight="1" x14ac:dyDescent="0.75">
      <c r="B1" s="8" t="s">
        <v>51</v>
      </c>
      <c r="C1" s="8"/>
      <c r="D1" s="8"/>
      <c r="E1" s="8"/>
      <c r="F1" s="8"/>
      <c r="G1" s="8"/>
      <c r="H1" s="8"/>
      <c r="I1" s="8"/>
      <c r="J1" s="8"/>
      <c r="K1" s="8"/>
      <c r="L1" s="8"/>
      <c r="M1" s="8"/>
      <c r="N1" s="8"/>
      <c r="O1" s="8"/>
      <c r="P1" s="8"/>
      <c r="Q1" s="8"/>
      <c r="R1" s="8"/>
      <c r="S1" s="8"/>
      <c r="T1" s="8"/>
      <c r="U1" s="8"/>
    </row>
    <row r="2" spans="2:21" ht="15" customHeight="1" x14ac:dyDescent="0.25">
      <c r="B2" s="7"/>
      <c r="C2" s="7"/>
      <c r="D2" s="7"/>
      <c r="E2" s="7"/>
      <c r="F2" s="7"/>
      <c r="G2" s="7"/>
      <c r="H2" s="7"/>
      <c r="I2" s="7"/>
      <c r="J2" s="7"/>
      <c r="K2" s="7"/>
      <c r="L2" s="7"/>
      <c r="M2" s="7"/>
      <c r="N2" s="7"/>
      <c r="O2" s="7"/>
      <c r="P2" s="7"/>
      <c r="Q2" s="7"/>
      <c r="R2" s="7"/>
      <c r="S2" s="7"/>
      <c r="T2" s="7"/>
      <c r="U2" s="7"/>
    </row>
    <row r="3" spans="2:21" ht="15" customHeight="1" x14ac:dyDescent="0.25">
      <c r="B3" s="7"/>
      <c r="C3" s="7"/>
      <c r="D3" s="7"/>
      <c r="E3" s="7"/>
      <c r="F3" s="7"/>
      <c r="G3" s="7"/>
      <c r="H3" s="7"/>
      <c r="I3" s="7"/>
      <c r="J3" s="7"/>
      <c r="K3" s="7"/>
      <c r="L3" s="7"/>
      <c r="M3" s="7"/>
      <c r="N3" s="7"/>
      <c r="O3" s="7"/>
      <c r="P3" s="7"/>
      <c r="Q3" s="7"/>
      <c r="R3" s="7"/>
      <c r="S3" s="7"/>
      <c r="T3" s="7"/>
      <c r="U3" s="7"/>
    </row>
    <row r="4" spans="2:21" ht="15" customHeight="1" x14ac:dyDescent="0.25">
      <c r="B4" s="7"/>
      <c r="C4" s="7"/>
      <c r="D4" s="7"/>
      <c r="E4" s="7"/>
      <c r="F4" s="7"/>
      <c r="G4" s="7"/>
      <c r="H4" s="7"/>
      <c r="I4" s="7"/>
      <c r="J4" s="7"/>
      <c r="K4" s="7"/>
      <c r="L4" s="7"/>
      <c r="M4" s="7"/>
      <c r="N4" s="7"/>
      <c r="O4" s="7"/>
      <c r="P4" s="7"/>
      <c r="Q4" s="7"/>
      <c r="R4" s="7"/>
      <c r="S4" s="7"/>
      <c r="T4" s="7"/>
      <c r="U4" s="7"/>
    </row>
  </sheetData>
  <mergeCells count="1">
    <mergeCell ref="B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7B8159DD-EA00-421E-A9D8-A27992CE1684}">
  <ds:schemaRefs>
    <ds:schemaRef ds:uri="http://schemas.microsoft.com/DataMashup"/>
  </ds:schemaRefs>
</ds:datastoreItem>
</file>

<file path=customXml/itemProps2.xml><?xml version="1.0" encoding="utf-8"?>
<ds:datastoreItem xmlns:ds="http://schemas.openxmlformats.org/officeDocument/2006/customXml" ds:itemID="{2D917A03-6B7D-48B5-8112-79D2DD7ED9A7}">
  <ds:schemaRefs/>
</ds:datastoreItem>
</file>

<file path=customXml/itemProps3.xml><?xml version="1.0" encoding="utf-8"?>
<ds:datastoreItem xmlns:ds="http://schemas.openxmlformats.org/officeDocument/2006/customXml" ds:itemID="{BF079A95-2FD1-41A4-BFBF-7DD0E26666A7}">
  <ds:schemaRefs/>
</ds:datastoreItem>
</file>

<file path=customXml/itemProps4.xml><?xml version="1.0" encoding="utf-8"?>
<ds:datastoreItem xmlns:ds="http://schemas.openxmlformats.org/officeDocument/2006/customXml" ds:itemID="{DD7B42D6-F516-44E1-A998-CE128A3BE803}">
  <ds:schemaRefs/>
</ds:datastoreItem>
</file>

<file path=customXml/itemProps5.xml><?xml version="1.0" encoding="utf-8"?>
<ds:datastoreItem xmlns:ds="http://schemas.openxmlformats.org/officeDocument/2006/customXml" ds:itemID="{E7E27212-3A10-4DB1-B29B-B663AEAF28A0}">
  <ds:schemaRefs/>
</ds:datastoreItem>
</file>

<file path=customXml/itemProps6.xml><?xml version="1.0" encoding="utf-8"?>
<ds:datastoreItem xmlns:ds="http://schemas.openxmlformats.org/officeDocument/2006/customXml" ds:itemID="{6EAD88E1-A78E-453D-9A4C-3A3C99709382}">
  <ds:schemaRefs/>
</ds:datastoreItem>
</file>

<file path=customXml/itemProps7.xml><?xml version="1.0" encoding="utf-8"?>
<ds:datastoreItem xmlns:ds="http://schemas.openxmlformats.org/officeDocument/2006/customXml" ds:itemID="{D4E39D6E-7A27-4E76-B395-FF59CFD89E10}">
  <ds:schemaRefs/>
</ds:datastoreItem>
</file>

<file path=customXml/itemProps8.xml><?xml version="1.0" encoding="utf-8"?>
<ds:datastoreItem xmlns:ds="http://schemas.openxmlformats.org/officeDocument/2006/customXml" ds:itemID="{DB579AB3-0AAA-40EB-932C-7D4777DD19CF}">
  <ds:schemaRefs/>
</ds:datastoreItem>
</file>

<file path=customXml/itemProps9.xml><?xml version="1.0" encoding="utf-8"?>
<ds:datastoreItem xmlns:ds="http://schemas.openxmlformats.org/officeDocument/2006/customXml" ds:itemID="{2BC52A0A-D6E4-44A4-AD5C-DB1BB9386416}">
  <ds:schemaRefs/>
</ds:datastoreItem>
</file>

<file path=customXml/itemProps10.xml><?xml version="1.0" encoding="utf-8"?>
<ds:datastoreItem xmlns:ds="http://schemas.openxmlformats.org/officeDocument/2006/customXml" ds:itemID="{9EA8EBCA-73CC-4D02-989B-A3675EE488C1}">
  <ds:schemaRefs/>
</ds:datastoreItem>
</file>

<file path=customXml/itemProps11.xml><?xml version="1.0" encoding="utf-8"?>
<ds:datastoreItem xmlns:ds="http://schemas.openxmlformats.org/officeDocument/2006/customXml" ds:itemID="{2190FBCD-0AF6-4F4C-BB55-9EB50422C655}">
  <ds:schemaRefs/>
</ds:datastoreItem>
</file>

<file path=customXml/itemProps12.xml><?xml version="1.0" encoding="utf-8"?>
<ds:datastoreItem xmlns:ds="http://schemas.openxmlformats.org/officeDocument/2006/customXml" ds:itemID="{886D18D0-F83B-4341-9B95-A548F700B464}">
  <ds:schemaRefs/>
</ds:datastoreItem>
</file>

<file path=customXml/itemProps13.xml><?xml version="1.0" encoding="utf-8"?>
<ds:datastoreItem xmlns:ds="http://schemas.openxmlformats.org/officeDocument/2006/customXml" ds:itemID="{D948A6C7-D02D-473C-BD84-5D3943632B73}">
  <ds:schemaRefs/>
</ds:datastoreItem>
</file>

<file path=customXml/itemProps14.xml><?xml version="1.0" encoding="utf-8"?>
<ds:datastoreItem xmlns:ds="http://schemas.openxmlformats.org/officeDocument/2006/customXml" ds:itemID="{53598040-F36F-4E14-8BC2-24CF0163004B}">
  <ds:schemaRefs/>
</ds:datastoreItem>
</file>

<file path=customXml/itemProps15.xml><?xml version="1.0" encoding="utf-8"?>
<ds:datastoreItem xmlns:ds="http://schemas.openxmlformats.org/officeDocument/2006/customXml" ds:itemID="{BADFEAF4-853E-472D-9772-5915891A0ABF}">
  <ds:schemaRefs/>
</ds:datastoreItem>
</file>

<file path=customXml/itemProps16.xml><?xml version="1.0" encoding="utf-8"?>
<ds:datastoreItem xmlns:ds="http://schemas.openxmlformats.org/officeDocument/2006/customXml" ds:itemID="{AA684E0C-144C-4D93-8F11-0712CB8C3405}">
  <ds:schemaRefs/>
</ds:datastoreItem>
</file>

<file path=customXml/itemProps17.xml><?xml version="1.0" encoding="utf-8"?>
<ds:datastoreItem xmlns:ds="http://schemas.openxmlformats.org/officeDocument/2006/customXml" ds:itemID="{8C66BD34-D21F-446E-A6D6-A608BA4D2E8B}">
  <ds:schemaRefs/>
</ds:datastoreItem>
</file>

<file path=customXml/itemProps18.xml><?xml version="1.0" encoding="utf-8"?>
<ds:datastoreItem xmlns:ds="http://schemas.openxmlformats.org/officeDocument/2006/customXml" ds:itemID="{8ACE0A40-9F4D-46FB-B43D-FDBDDFF41D64}">
  <ds:schemaRefs/>
</ds:datastoreItem>
</file>

<file path=customXml/itemProps19.xml><?xml version="1.0" encoding="utf-8"?>
<ds:datastoreItem xmlns:ds="http://schemas.openxmlformats.org/officeDocument/2006/customXml" ds:itemID="{AA57C41B-0D53-4E3E-952B-D0884018769D}">
  <ds:schemaRefs/>
</ds:datastoreItem>
</file>

<file path=customXml/itemProps20.xml><?xml version="1.0" encoding="utf-8"?>
<ds:datastoreItem xmlns:ds="http://schemas.openxmlformats.org/officeDocument/2006/customXml" ds:itemID="{C00C495E-EB98-41D6-A943-06E447A028EA}">
  <ds:schemaRefs/>
</ds:datastoreItem>
</file>

<file path=customXml/itemProps21.xml><?xml version="1.0" encoding="utf-8"?>
<ds:datastoreItem xmlns:ds="http://schemas.openxmlformats.org/officeDocument/2006/customXml" ds:itemID="{20A1400B-3674-4E9A-AF6B-1F8D55026D8A}">
  <ds:schemaRefs/>
</ds:datastoreItem>
</file>

<file path=customXml/itemProps22.xml><?xml version="1.0" encoding="utf-8"?>
<ds:datastoreItem xmlns:ds="http://schemas.openxmlformats.org/officeDocument/2006/customXml" ds:itemID="{B3DEB6B2-349C-42F3-A11A-C77B16FC19ED}">
  <ds:schemaRefs/>
</ds:datastoreItem>
</file>

<file path=customXml/itemProps23.xml><?xml version="1.0" encoding="utf-8"?>
<ds:datastoreItem xmlns:ds="http://schemas.openxmlformats.org/officeDocument/2006/customXml" ds:itemID="{846E1B18-9234-4A27-8779-A0DD8219442D}">
  <ds:schemaRefs/>
</ds:datastoreItem>
</file>

<file path=customXml/itemProps24.xml><?xml version="1.0" encoding="utf-8"?>
<ds:datastoreItem xmlns:ds="http://schemas.openxmlformats.org/officeDocument/2006/customXml" ds:itemID="{BCDBAF2A-CEB9-4401-A28A-1D6A0D9ADEC3}">
  <ds:schemaRefs/>
</ds:datastoreItem>
</file>

<file path=customXml/itemProps25.xml><?xml version="1.0" encoding="utf-8"?>
<ds:datastoreItem xmlns:ds="http://schemas.openxmlformats.org/officeDocument/2006/customXml" ds:itemID="{17C74DD7-464A-47A9-B724-D437AD77E67D}">
  <ds:schemaRefs/>
</ds:datastoreItem>
</file>

<file path=customXml/itemProps26.xml><?xml version="1.0" encoding="utf-8"?>
<ds:datastoreItem xmlns:ds="http://schemas.openxmlformats.org/officeDocument/2006/customXml" ds:itemID="{067DE3F9-4493-4C73-90F2-5589BC0D1393}">
  <ds:schemaRefs/>
</ds:datastoreItem>
</file>

<file path=customXml/itemProps27.xml><?xml version="1.0" encoding="utf-8"?>
<ds:datastoreItem xmlns:ds="http://schemas.openxmlformats.org/officeDocument/2006/customXml" ds:itemID="{54510E45-70EF-4BDA-8E4C-090BD914EE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Hassan Magdy</dc:creator>
  <cp:lastModifiedBy>Hassan Magdy</cp:lastModifiedBy>
  <dcterms:created xsi:type="dcterms:W3CDTF">2026-10-07T15:23:39Z</dcterms:created>
  <dcterms:modified xsi:type="dcterms:W3CDTF">2026-10-08T14:38:29Z</dcterms:modified>
</cp:coreProperties>
</file>